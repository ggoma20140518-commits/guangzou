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smaxdt-my.sharepoint.com/personal/ggoma0904_cosmax_com/Documents/바탕 화면/AI 교육/광저우 대시보드/"/>
    </mc:Choice>
  </mc:AlternateContent>
  <xr:revisionPtr revIDLastSave="214" documentId="14_{977DD5D5-567B-47C0-B513-EB5151C25B0A}" xr6:coauthVersionLast="47" xr6:coauthVersionMax="47" xr10:uidLastSave="{E81160AD-2F8A-4CF3-AE6A-924A29FD5A09}"/>
  <bookViews>
    <workbookView xWindow="-120" yWindow="-120" windowWidth="29040" windowHeight="15720" activeTab="1" xr2:uid="{66FA66E8-B7C6-4FEB-8B0F-7FFE87B272D0}"/>
  </bookViews>
  <sheets>
    <sheet name="26년 예상 매출 销售预计(法人别)" sheetId="1" r:id="rId1"/>
    <sheet name="26년 고객사별 예상 매출 销售预计(客户别)" sheetId="2" r:id="rId2"/>
    <sheet name="Sheet1" sheetId="3" r:id="rId3"/>
    <sheet name="Sheet2" sheetId="4" r:id="rId4"/>
  </sheets>
  <definedNames>
    <definedName name="_xlnm._FilterDatabase" localSheetId="1" hidden="1">'26년 고객사별 예상 매출 销售预计(客户别)'!$A$3:$K$220</definedName>
    <definedName name="_xlnm._FilterDatabase" localSheetId="2" hidden="1">Sheet1!$A$1:$R$36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6" i="3"/>
  <c r="P8" i="3"/>
  <c r="P10" i="3"/>
  <c r="P12" i="3"/>
  <c r="P13" i="3"/>
  <c r="P15" i="3"/>
  <c r="P19" i="3"/>
  <c r="P20" i="3"/>
  <c r="P22" i="3"/>
  <c r="P24" i="3"/>
  <c r="P26" i="3"/>
  <c r="P27" i="3"/>
  <c r="P28" i="3"/>
  <c r="P29" i="3"/>
  <c r="P30" i="3"/>
  <c r="P31" i="3"/>
  <c r="P32" i="3"/>
  <c r="P33" i="3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7" i="2"/>
  <c r="J8" i="2"/>
  <c r="J9" i="2"/>
  <c r="J10" i="2"/>
  <c r="J11" i="2"/>
  <c r="J12" i="2"/>
  <c r="J5" i="2"/>
  <c r="J6" i="2"/>
  <c r="J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4" i="2"/>
  <c r="G2" i="2"/>
  <c r="H2" i="2"/>
  <c r="I2" i="2"/>
  <c r="E5" i="2"/>
  <c r="E13" i="2"/>
  <c r="E6" i="2"/>
  <c r="E7" i="2"/>
  <c r="E9" i="2"/>
  <c r="E12" i="2"/>
  <c r="E10" i="2"/>
  <c r="E11" i="2"/>
  <c r="E8" i="2"/>
  <c r="E17" i="2"/>
  <c r="E15" i="2"/>
  <c r="E16" i="2"/>
  <c r="E23" i="2"/>
  <c r="E30" i="2"/>
  <c r="E14" i="2"/>
  <c r="E20" i="2"/>
  <c r="E22" i="2"/>
  <c r="E19" i="2"/>
  <c r="E44" i="2"/>
  <c r="E27" i="2"/>
  <c r="E25" i="2"/>
  <c r="E18" i="2"/>
  <c r="E21" i="2"/>
  <c r="E26" i="2"/>
  <c r="E24" i="2"/>
  <c r="E28" i="2"/>
  <c r="E31" i="2"/>
  <c r="E51" i="2"/>
  <c r="E125" i="2"/>
  <c r="E54" i="2"/>
  <c r="E50" i="2"/>
  <c r="E127" i="2"/>
  <c r="E52" i="2"/>
  <c r="E47" i="2"/>
  <c r="E88" i="2"/>
  <c r="E48" i="2"/>
  <c r="E33" i="2"/>
  <c r="E46" i="2"/>
  <c r="E66" i="2"/>
  <c r="E38" i="2"/>
  <c r="E29" i="2"/>
  <c r="E120" i="2"/>
  <c r="E112" i="2"/>
  <c r="E34" i="2"/>
  <c r="E40" i="2"/>
  <c r="E36" i="2"/>
  <c r="E53" i="2"/>
  <c r="E32" i="2"/>
  <c r="E45" i="2"/>
  <c r="E39" i="2"/>
  <c r="E49" i="2"/>
  <c r="E35" i="2"/>
  <c r="E55" i="2"/>
  <c r="E60" i="2"/>
  <c r="E43" i="2"/>
  <c r="E63" i="2"/>
  <c r="E57" i="2"/>
  <c r="E37" i="2"/>
  <c r="E78" i="2"/>
  <c r="E41" i="2"/>
  <c r="E42" i="2"/>
  <c r="E96" i="2"/>
  <c r="E56" i="2"/>
  <c r="E128" i="2"/>
  <c r="E131" i="2"/>
  <c r="E72" i="2"/>
  <c r="E61" i="2"/>
  <c r="E64" i="2"/>
  <c r="E58" i="2"/>
  <c r="E59" i="2"/>
  <c r="E67" i="2"/>
  <c r="E74" i="2"/>
  <c r="E70" i="2"/>
  <c r="E62" i="2"/>
  <c r="E141" i="2"/>
  <c r="E65" i="2"/>
  <c r="E89" i="2"/>
  <c r="E81" i="2"/>
  <c r="E68" i="2"/>
  <c r="E171" i="2"/>
  <c r="E69" i="2"/>
  <c r="E71" i="2"/>
  <c r="E73" i="2"/>
  <c r="E75" i="2"/>
  <c r="E76" i="2"/>
  <c r="E77" i="2"/>
  <c r="E85" i="2"/>
  <c r="E105" i="2"/>
  <c r="E177" i="2"/>
  <c r="E79" i="2"/>
  <c r="E140" i="2"/>
  <c r="E80" i="2"/>
  <c r="E82" i="2"/>
  <c r="E90" i="2"/>
  <c r="E83" i="2"/>
  <c r="E84" i="2"/>
  <c r="E104" i="2"/>
  <c r="E86" i="2"/>
  <c r="E87" i="2"/>
  <c r="E91" i="2"/>
  <c r="E113" i="2"/>
  <c r="E92" i="2"/>
  <c r="E97" i="2"/>
  <c r="E93" i="2"/>
  <c r="E94" i="2"/>
  <c r="E157" i="2"/>
  <c r="E137" i="2"/>
  <c r="E142" i="2"/>
  <c r="E95" i="2"/>
  <c r="E98" i="2"/>
  <c r="E99" i="2"/>
  <c r="E100" i="2"/>
  <c r="E101" i="2"/>
  <c r="E102" i="2"/>
  <c r="E103" i="2"/>
  <c r="E106" i="2"/>
  <c r="E183" i="2"/>
  <c r="E107" i="2"/>
  <c r="E108" i="2"/>
  <c r="E109" i="2"/>
  <c r="E110" i="2"/>
  <c r="E111" i="2"/>
  <c r="E114" i="2"/>
  <c r="E115" i="2"/>
  <c r="E116" i="2"/>
  <c r="E117" i="2"/>
  <c r="E118" i="2"/>
  <c r="E119" i="2"/>
  <c r="E121" i="2"/>
  <c r="E122" i="2"/>
  <c r="E123" i="2"/>
  <c r="E124" i="2"/>
  <c r="E126" i="2"/>
  <c r="E129" i="2"/>
  <c r="E130" i="2"/>
  <c r="E132" i="2"/>
  <c r="E133" i="2"/>
  <c r="E134" i="2"/>
  <c r="E135" i="2"/>
  <c r="E136" i="2"/>
  <c r="E138" i="2"/>
  <c r="E139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2" i="2"/>
  <c r="E173" i="2"/>
  <c r="E174" i="2"/>
  <c r="E175" i="2"/>
  <c r="E176" i="2"/>
  <c r="E178" i="2"/>
  <c r="E179" i="2"/>
  <c r="E180" i="2"/>
  <c r="E181" i="2"/>
  <c r="E182" i="2"/>
  <c r="E184" i="2"/>
  <c r="E185" i="2"/>
  <c r="E186" i="2"/>
  <c r="E187" i="2"/>
  <c r="E188" i="2"/>
  <c r="E189" i="2"/>
  <c r="E190" i="2"/>
  <c r="E191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192" i="2"/>
  <c r="E220" i="2"/>
  <c r="E4" i="2"/>
  <c r="T14" i="2"/>
  <c r="AF4" i="2"/>
  <c r="AF5" i="2"/>
  <c r="AF6" i="2"/>
  <c r="AF7" i="2"/>
  <c r="AB4" i="2"/>
  <c r="AB5" i="2"/>
  <c r="AB6" i="2"/>
  <c r="AB7" i="2"/>
  <c r="X4" i="2"/>
  <c r="X5" i="2"/>
  <c r="X6" i="2"/>
  <c r="X7" i="2"/>
  <c r="T7" i="2"/>
  <c r="T5" i="2"/>
  <c r="T6" i="2"/>
  <c r="T4" i="2"/>
  <c r="R8" i="2"/>
  <c r="S8" i="2"/>
  <c r="U8" i="2"/>
  <c r="V8" i="2"/>
  <c r="W8" i="2"/>
  <c r="Y8" i="2"/>
  <c r="Z8" i="2"/>
  <c r="AA8" i="2"/>
  <c r="AC8" i="2"/>
  <c r="AD8" i="2"/>
  <c r="AE8" i="2"/>
  <c r="Q8" i="2"/>
  <c r="R13" i="1"/>
  <c r="R14" i="1"/>
  <c r="R15" i="1"/>
  <c r="N13" i="1"/>
  <c r="N14" i="1"/>
  <c r="N15" i="1"/>
  <c r="R8" i="1"/>
  <c r="R9" i="1"/>
  <c r="R10" i="1"/>
  <c r="N8" i="1"/>
  <c r="N9" i="1"/>
  <c r="N10" i="1"/>
  <c r="J13" i="1"/>
  <c r="S13" i="1" s="1"/>
  <c r="J14" i="1"/>
  <c r="J15" i="1"/>
  <c r="J8" i="1"/>
  <c r="J9" i="1"/>
  <c r="J10" i="1"/>
  <c r="F13" i="1"/>
  <c r="F14" i="1"/>
  <c r="F15" i="1"/>
  <c r="F10" i="1"/>
  <c r="F9" i="1"/>
  <c r="F8" i="1"/>
  <c r="C4" i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2" i="3"/>
  <c r="T8" i="2" l="1"/>
  <c r="AF8" i="2"/>
  <c r="X8" i="2"/>
  <c r="AB8" i="2"/>
  <c r="AG6" i="2"/>
  <c r="AG4" i="2"/>
  <c r="AG7" i="2"/>
  <c r="AG5" i="2"/>
  <c r="AG8" i="2" s="1"/>
  <c r="S15" i="1"/>
  <c r="S10" i="1"/>
  <c r="S14" i="1"/>
  <c r="S9" i="1"/>
  <c r="S8" i="1"/>
  <c r="Q4" i="3"/>
  <c r="N3" i="3"/>
  <c r="N4" i="3"/>
  <c r="N5" i="3"/>
  <c r="N6" i="3"/>
  <c r="N7" i="3"/>
  <c r="N8" i="3"/>
  <c r="N9" i="3"/>
  <c r="P9" i="3" s="1"/>
  <c r="N10" i="3"/>
  <c r="N11" i="3"/>
  <c r="N12" i="3"/>
  <c r="N13" i="3"/>
  <c r="N14" i="3"/>
  <c r="N15" i="3"/>
  <c r="N16" i="3"/>
  <c r="P16" i="3" s="1"/>
  <c r="N17" i="3"/>
  <c r="P17" i="3" s="1"/>
  <c r="N18" i="3"/>
  <c r="N19" i="3"/>
  <c r="N20" i="3"/>
  <c r="N21" i="3"/>
  <c r="N22" i="3"/>
  <c r="N23" i="3"/>
  <c r="P23" i="3" s="1"/>
  <c r="N24" i="3"/>
  <c r="N25" i="3"/>
  <c r="P25" i="3" s="1"/>
  <c r="N26" i="3"/>
  <c r="N27" i="3"/>
  <c r="N28" i="3"/>
  <c r="N29" i="3"/>
  <c r="N30" i="3"/>
  <c r="N31" i="3"/>
  <c r="N32" i="3"/>
  <c r="N33" i="3"/>
  <c r="N2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3" i="3"/>
  <c r="M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L2" i="3"/>
  <c r="K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2" i="3"/>
  <c r="P21" i="3" l="1"/>
  <c r="P14" i="3"/>
  <c r="P11" i="3"/>
  <c r="P18" i="3"/>
  <c r="P7" i="3"/>
  <c r="P5" i="3"/>
  <c r="Q27" i="3"/>
  <c r="Q19" i="3"/>
  <c r="Q10" i="3"/>
  <c r="Q33" i="3"/>
  <c r="Q25" i="3"/>
  <c r="Q17" i="3"/>
  <c r="Q9" i="3"/>
  <c r="Q2" i="3"/>
  <c r="Q32" i="3"/>
  <c r="Q24" i="3"/>
  <c r="Q16" i="3"/>
  <c r="Q8" i="3"/>
  <c r="Q11" i="3"/>
  <c r="Q26" i="3"/>
  <c r="Q31" i="3"/>
  <c r="Q23" i="3"/>
  <c r="Q15" i="3"/>
  <c r="Q7" i="3"/>
  <c r="Q3" i="3"/>
  <c r="Q18" i="3"/>
  <c r="Q30" i="3"/>
  <c r="Q22" i="3"/>
  <c r="Q14" i="3"/>
  <c r="Q6" i="3"/>
  <c r="Q29" i="3"/>
  <c r="Q21" i="3"/>
  <c r="Q13" i="3"/>
  <c r="Q5" i="3"/>
  <c r="Q28" i="3"/>
  <c r="Q20" i="3"/>
  <c r="Q12" i="3"/>
  <c r="O14" i="3"/>
  <c r="O15" i="3"/>
  <c r="O7" i="3"/>
  <c r="P2" i="3"/>
  <c r="O9" i="3"/>
  <c r="O28" i="3"/>
  <c r="O20" i="3"/>
  <c r="O2" i="3"/>
  <c r="O10" i="3"/>
  <c r="O24" i="3"/>
  <c r="O23" i="3"/>
  <c r="O22" i="3"/>
  <c r="O21" i="3"/>
  <c r="O13" i="3"/>
  <c r="O5" i="3"/>
  <c r="O12" i="3"/>
  <c r="O27" i="3"/>
  <c r="O19" i="3"/>
  <c r="O3" i="3"/>
  <c r="F2" i="2" l="1"/>
  <c r="AH4" i="2"/>
  <c r="Q34" i="1"/>
  <c r="P34" i="1"/>
  <c r="O34" i="1"/>
  <c r="Q29" i="1"/>
  <c r="P29" i="1"/>
  <c r="O29" i="1"/>
  <c r="T17" i="2"/>
  <c r="T15" i="2"/>
  <c r="I5" i="1"/>
  <c r="J5" i="1"/>
  <c r="K5" i="1"/>
  <c r="L5" i="1"/>
  <c r="M5" i="1"/>
  <c r="N5" i="1"/>
  <c r="O5" i="1"/>
  <c r="P5" i="1"/>
  <c r="Q5" i="1"/>
  <c r="R5" i="1"/>
  <c r="Q17" i="2"/>
  <c r="Q16" i="2"/>
  <c r="Q15" i="2"/>
  <c r="Q14" i="2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C16" i="1"/>
  <c r="R17" i="1"/>
  <c r="Q17" i="1"/>
  <c r="P17" i="1"/>
  <c r="O17" i="1"/>
  <c r="N17" i="1"/>
  <c r="M17" i="1"/>
  <c r="L17" i="1"/>
  <c r="K17" i="1"/>
  <c r="J17" i="1"/>
  <c r="I17" i="1"/>
  <c r="H17" i="1"/>
  <c r="G17" i="1"/>
  <c r="E17" i="1"/>
  <c r="D17" i="1"/>
  <c r="C17" i="1"/>
  <c r="H5" i="1"/>
  <c r="G5" i="1"/>
  <c r="E5" i="1"/>
  <c r="D5" i="1"/>
  <c r="C5" i="1"/>
  <c r="N11" i="1"/>
  <c r="M11" i="1"/>
  <c r="L11" i="1"/>
  <c r="K11" i="1"/>
  <c r="I11" i="1"/>
  <c r="H11" i="1"/>
  <c r="D11" i="1"/>
  <c r="C11" i="1"/>
  <c r="R12" i="1"/>
  <c r="Q12" i="1"/>
  <c r="P12" i="1"/>
  <c r="O12" i="1"/>
  <c r="L12" i="1"/>
  <c r="K12" i="1"/>
  <c r="H12" i="1"/>
  <c r="G27" i="1"/>
  <c r="F3" i="1"/>
  <c r="D12" i="1"/>
  <c r="C3" i="1" l="1"/>
  <c r="C7" i="1" s="1"/>
  <c r="C12" i="1"/>
  <c r="E3" i="1"/>
  <c r="E7" i="1" s="1"/>
  <c r="E12" i="1"/>
  <c r="G3" i="1"/>
  <c r="G12" i="1"/>
  <c r="I3" i="1"/>
  <c r="I7" i="1" s="1"/>
  <c r="I12" i="1"/>
  <c r="J3" i="1"/>
  <c r="J12" i="1"/>
  <c r="M3" i="1"/>
  <c r="M12" i="1"/>
  <c r="N3" i="1"/>
  <c r="N7" i="1" s="1"/>
  <c r="N12" i="1"/>
  <c r="E4" i="1"/>
  <c r="E6" i="1" s="1"/>
  <c r="E11" i="1"/>
  <c r="G4" i="1"/>
  <c r="G6" i="1" s="1"/>
  <c r="G11" i="1"/>
  <c r="J4" i="1"/>
  <c r="J6" i="1" s="1"/>
  <c r="J11" i="1"/>
  <c r="O4" i="1"/>
  <c r="O6" i="1" s="1"/>
  <c r="O11" i="1"/>
  <c r="P4" i="1"/>
  <c r="P6" i="1" s="1"/>
  <c r="P11" i="1"/>
  <c r="Q4" i="1"/>
  <c r="Q6" i="1" s="1"/>
  <c r="Q11" i="1"/>
  <c r="R4" i="1"/>
  <c r="R6" i="1" s="1"/>
  <c r="R11" i="1"/>
  <c r="G7" i="1"/>
  <c r="M7" i="1"/>
  <c r="J7" i="1"/>
  <c r="F12" i="1"/>
  <c r="F11" i="1"/>
  <c r="F17" i="1"/>
  <c r="F16" i="1"/>
  <c r="F5" i="1"/>
  <c r="F7" i="1" s="1"/>
  <c r="S4" i="1"/>
  <c r="D4" i="1"/>
  <c r="D6" i="1" s="1"/>
  <c r="L4" i="1"/>
  <c r="L6" i="1" s="1"/>
  <c r="C6" i="1"/>
  <c r="K4" i="1"/>
  <c r="K6" i="1" s="1"/>
  <c r="F4" i="1"/>
  <c r="L3" i="1"/>
  <c r="L7" i="1" s="1"/>
  <c r="H3" i="1"/>
  <c r="H7" i="1" s="1"/>
  <c r="P3" i="1"/>
  <c r="P7" i="1" s="1"/>
  <c r="D3" i="1"/>
  <c r="D7" i="1" s="1"/>
  <c r="O3" i="1"/>
  <c r="O7" i="1" s="1"/>
  <c r="Q3" i="1"/>
  <c r="Q7" i="1" s="1"/>
  <c r="H4" i="1"/>
  <c r="H6" i="1" s="1"/>
  <c r="M4" i="1"/>
  <c r="M6" i="1" s="1"/>
  <c r="R3" i="1"/>
  <c r="R7" i="1" s="1"/>
  <c r="I4" i="1"/>
  <c r="I6" i="1" s="1"/>
  <c r="N4" i="1"/>
  <c r="N6" i="1" s="1"/>
  <c r="K3" i="1"/>
  <c r="K7" i="1" s="1"/>
  <c r="S3" i="1"/>
  <c r="S12" i="1" l="1"/>
  <c r="S11" i="1"/>
  <c r="S17" i="1"/>
  <c r="S16" i="1"/>
  <c r="S5" i="1"/>
  <c r="F6" i="1"/>
  <c r="S7" i="1" l="1"/>
  <c r="S6" i="1"/>
  <c r="Q18" i="2" l="1"/>
  <c r="S17" i="2" s="1"/>
  <c r="D32" i="1"/>
  <c r="E32" i="1"/>
  <c r="F32" i="1"/>
  <c r="G32" i="1"/>
  <c r="H32" i="1"/>
  <c r="I32" i="1"/>
  <c r="J32" i="1"/>
  <c r="K32" i="1"/>
  <c r="L32" i="1"/>
  <c r="M32" i="1"/>
  <c r="N32" i="1"/>
  <c r="O32" i="1"/>
  <c r="O36" i="1" s="1"/>
  <c r="P32" i="1"/>
  <c r="P36" i="1" s="1"/>
  <c r="Q32" i="1"/>
  <c r="Q36" i="1" s="1"/>
  <c r="R32" i="1"/>
  <c r="S32" i="1"/>
  <c r="D33" i="1"/>
  <c r="E33" i="1"/>
  <c r="F33" i="1"/>
  <c r="G33" i="1"/>
  <c r="H33" i="1"/>
  <c r="I33" i="1"/>
  <c r="J33" i="1"/>
  <c r="K33" i="1"/>
  <c r="L33" i="1"/>
  <c r="M33" i="1"/>
  <c r="N33" i="1"/>
  <c r="O33" i="1"/>
  <c r="O35" i="1" s="1"/>
  <c r="P33" i="1"/>
  <c r="P35" i="1" s="1"/>
  <c r="Q33" i="1"/>
  <c r="Q35" i="1" s="1"/>
  <c r="R33" i="1"/>
  <c r="S33" i="1"/>
  <c r="D34" i="1"/>
  <c r="D35" i="1" s="1"/>
  <c r="E34" i="1"/>
  <c r="F34" i="1"/>
  <c r="G34" i="1"/>
  <c r="H34" i="1"/>
  <c r="I34" i="1"/>
  <c r="J34" i="1"/>
  <c r="K34" i="1"/>
  <c r="L34" i="1"/>
  <c r="M34" i="1"/>
  <c r="S34" i="1"/>
  <c r="S36" i="1" s="1"/>
  <c r="C34" i="1"/>
  <c r="C33" i="1"/>
  <c r="C32" i="1"/>
  <c r="C36" i="1" l="1"/>
  <c r="H36" i="1"/>
  <c r="D36" i="1"/>
  <c r="H35" i="1"/>
  <c r="C35" i="1"/>
  <c r="F35" i="1"/>
  <c r="F36" i="1"/>
  <c r="E35" i="1"/>
  <c r="E36" i="1"/>
  <c r="G35" i="1"/>
  <c r="G36" i="1"/>
  <c r="M35" i="1"/>
  <c r="M36" i="1"/>
  <c r="L35" i="1"/>
  <c r="L36" i="1"/>
  <c r="K35" i="1"/>
  <c r="K36" i="1"/>
  <c r="J35" i="1"/>
  <c r="J36" i="1"/>
  <c r="I35" i="1"/>
  <c r="I36" i="1"/>
  <c r="S35" i="1"/>
  <c r="V15" i="2"/>
  <c r="T16" i="2"/>
  <c r="V16" i="2" s="1"/>
  <c r="V17" i="2"/>
  <c r="S16" i="2"/>
  <c r="S15" i="2"/>
  <c r="S14" i="2"/>
  <c r="K23" i="1"/>
  <c r="K28" i="1"/>
  <c r="F28" i="1"/>
  <c r="F23" i="1"/>
  <c r="G29" i="1"/>
  <c r="G24" i="1"/>
  <c r="S22" i="1"/>
  <c r="S27" i="1"/>
  <c r="G22" i="1"/>
  <c r="H23" i="1"/>
  <c r="H28" i="1"/>
  <c r="R22" i="1"/>
  <c r="R27" i="1"/>
  <c r="M29" i="1"/>
  <c r="M24" i="1"/>
  <c r="J23" i="1"/>
  <c r="J28" i="1"/>
  <c r="S24" i="1"/>
  <c r="S29" i="1"/>
  <c r="K24" i="1"/>
  <c r="K29" i="1"/>
  <c r="D29" i="1"/>
  <c r="D24" i="1"/>
  <c r="N28" i="1"/>
  <c r="N23" i="1"/>
  <c r="I23" i="1"/>
  <c r="I28" i="1"/>
  <c r="S23" i="1"/>
  <c r="S28" i="1"/>
  <c r="O27" i="1"/>
  <c r="O31" i="1" s="1"/>
  <c r="O22" i="1"/>
  <c r="J22" i="1"/>
  <c r="J27" i="1"/>
  <c r="E27" i="1"/>
  <c r="E22" i="1"/>
  <c r="E28" i="1"/>
  <c r="E23" i="1"/>
  <c r="I24" i="1"/>
  <c r="I29" i="1"/>
  <c r="C22" i="1"/>
  <c r="C27" i="1"/>
  <c r="D22" i="1"/>
  <c r="D27" i="1"/>
  <c r="C29" i="1"/>
  <c r="C24" i="1"/>
  <c r="P27" i="1"/>
  <c r="P31" i="1" s="1"/>
  <c r="P22" i="1"/>
  <c r="Q24" i="1"/>
  <c r="J24" i="1"/>
  <c r="J29" i="1"/>
  <c r="C23" i="1"/>
  <c r="C28" i="1"/>
  <c r="M28" i="1"/>
  <c r="M23" i="1"/>
  <c r="N27" i="1"/>
  <c r="N22" i="1"/>
  <c r="I27" i="1"/>
  <c r="I22" i="1"/>
  <c r="E29" i="1"/>
  <c r="E24" i="1"/>
  <c r="P24" i="1"/>
  <c r="H29" i="1"/>
  <c r="H24" i="1"/>
  <c r="R23" i="1"/>
  <c r="R28" i="1"/>
  <c r="L23" i="1"/>
  <c r="L28" i="1"/>
  <c r="G28" i="1"/>
  <c r="G23" i="1"/>
  <c r="H27" i="1"/>
  <c r="H22" i="1"/>
  <c r="F29" i="1"/>
  <c r="V3" i="1" s="1"/>
  <c r="F24" i="1"/>
  <c r="U3" i="1" s="1"/>
  <c r="O28" i="1"/>
  <c r="O30" i="1" s="1"/>
  <c r="O23" i="1"/>
  <c r="L29" i="1"/>
  <c r="L24" i="1"/>
  <c r="O24" i="1"/>
  <c r="Q28" i="1"/>
  <c r="Q30" i="1" s="1"/>
  <c r="Q23" i="1"/>
  <c r="M27" i="1"/>
  <c r="M22" i="1"/>
  <c r="Q22" i="1"/>
  <c r="Q27" i="1"/>
  <c r="Q31" i="1" s="1"/>
  <c r="K22" i="1"/>
  <c r="K27" i="1"/>
  <c r="F27" i="1"/>
  <c r="F22" i="1"/>
  <c r="D23" i="1"/>
  <c r="D28" i="1"/>
  <c r="P23" i="1"/>
  <c r="P28" i="1"/>
  <c r="P30" i="1" s="1"/>
  <c r="L22" i="1"/>
  <c r="L27" i="1"/>
  <c r="C25" i="1" l="1"/>
  <c r="E31" i="1"/>
  <c r="E30" i="1"/>
  <c r="C31" i="1"/>
  <c r="C30" i="1"/>
  <c r="D31" i="1"/>
  <c r="D30" i="1"/>
  <c r="M31" i="1"/>
  <c r="M30" i="1"/>
  <c r="J30" i="1"/>
  <c r="J31" i="1"/>
  <c r="K30" i="1"/>
  <c r="K31" i="1"/>
  <c r="F30" i="1"/>
  <c r="F31" i="1"/>
  <c r="V4" i="1" s="1"/>
  <c r="G30" i="1"/>
  <c r="G31" i="1"/>
  <c r="S30" i="1"/>
  <c r="S31" i="1"/>
  <c r="H31" i="1"/>
  <c r="H30" i="1"/>
  <c r="I31" i="1"/>
  <c r="I30" i="1"/>
  <c r="L31" i="1"/>
  <c r="L30" i="1"/>
  <c r="T18" i="2"/>
  <c r="W16" i="2" s="1"/>
  <c r="X16" i="2" s="1"/>
  <c r="V14" i="2"/>
  <c r="C26" i="1"/>
  <c r="G25" i="1"/>
  <c r="G26" i="1"/>
  <c r="J26" i="1"/>
  <c r="J25" i="1"/>
  <c r="K26" i="1"/>
  <c r="K25" i="1"/>
  <c r="I26" i="1"/>
  <c r="I25" i="1"/>
  <c r="D25" i="1"/>
  <c r="D26" i="1"/>
  <c r="H26" i="1"/>
  <c r="H25" i="1"/>
  <c r="Q26" i="1"/>
  <c r="Q25" i="1"/>
  <c r="L25" i="1"/>
  <c r="L26" i="1"/>
  <c r="P26" i="1"/>
  <c r="P25" i="1"/>
  <c r="E25" i="1"/>
  <c r="E26" i="1"/>
  <c r="M26" i="1"/>
  <c r="M25" i="1"/>
  <c r="F25" i="1"/>
  <c r="F26" i="1"/>
  <c r="U4" i="1" s="1"/>
  <c r="O25" i="1"/>
  <c r="O26" i="1"/>
  <c r="S26" i="1"/>
  <c r="S25" i="1"/>
  <c r="W15" i="2" l="1"/>
  <c r="X15" i="2" s="1"/>
  <c r="W17" i="2"/>
  <c r="X17" i="2" s="1"/>
  <c r="W14" i="2"/>
  <c r="X14" i="2" s="1"/>
</calcChain>
</file>

<file path=xl/sharedStrings.xml><?xml version="1.0" encoding="utf-8"?>
<sst xmlns="http://schemas.openxmlformats.org/spreadsheetml/2006/main" count="2771" uniqueCount="700">
  <si>
    <r>
      <t xml:space="preserve">1. 26년 예상 매출 </t>
    </r>
    <r>
      <rPr>
        <b/>
        <sz val="11"/>
        <color theme="1"/>
        <rFont val="Microsoft YaHei UI"/>
        <family val="2"/>
        <charset val="134"/>
      </rPr>
      <t>销售预计</t>
    </r>
    <r>
      <rPr>
        <b/>
        <sz val="11"/>
        <color theme="1"/>
        <rFont val="맑은 고딕"/>
        <family val="2"/>
        <charset val="129"/>
        <scheme val="minor"/>
      </rPr>
      <t xml:space="preserve"> (法人</t>
    </r>
    <r>
      <rPr>
        <b/>
        <sz val="11"/>
        <color theme="1"/>
        <rFont val="Microsoft YaHei UI"/>
        <family val="2"/>
        <charset val="134"/>
      </rPr>
      <t>别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</si>
  <si>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区分</t>
    </r>
    <r>
      <rPr>
        <b/>
        <sz val="11"/>
        <color theme="1"/>
        <rFont val="맑은 고딕"/>
        <family val="2"/>
        <charset val="129"/>
      </rPr>
      <t xml:space="preserve"> 구분</t>
    </r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</si>
  <si>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</si>
  <si>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</si>
  <si>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</si>
  <si>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1Q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</si>
  <si>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</si>
  <si>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</si>
  <si>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</si>
  <si>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2Q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</si>
  <si>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</si>
  <si>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</si>
  <si>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</si>
  <si>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3Q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</si>
  <si>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</si>
  <si>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</si>
  <si>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</si>
  <si>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4Q</t>
    <phoneticPr fontId="1" type="noConversion"/>
  </si>
  <si>
    <t>TOTAL</t>
    <phoneticPr fontId="1" type="noConversion"/>
  </si>
  <si>
    <t>1Q 총 예상 매출</t>
    <phoneticPr fontId="1" type="noConversion"/>
  </si>
  <si>
    <t>1Q GZ 예상 매출</t>
    <phoneticPr fontId="1" type="noConversion"/>
  </si>
  <si>
    <r>
      <t>25年</t>
    </r>
    <r>
      <rPr>
        <sz val="11"/>
        <color theme="1"/>
        <rFont val="Noto Sans KR"/>
        <family val="2"/>
        <charset val="134"/>
      </rPr>
      <t xml:space="preserve"> </t>
    </r>
    <r>
      <rPr>
        <sz val="11"/>
        <color theme="1"/>
        <rFont val="Microsoft YaHei"/>
        <family val="2"/>
        <charset val="134"/>
      </rPr>
      <t>销</t>
    </r>
    <r>
      <rPr>
        <sz val="11"/>
        <color theme="1"/>
        <rFont val="Noto Sans KR"/>
        <family val="2"/>
        <charset val="134"/>
      </rPr>
      <t>售</t>
    </r>
    <r>
      <rPr>
        <sz val="11"/>
        <color theme="1"/>
        <rFont val="맑은 고딕"/>
        <family val="2"/>
        <charset val="129"/>
        <scheme val="minor"/>
      </rPr>
      <t xml:space="preserve"> 25년 매출</t>
    </r>
    <phoneticPr fontId="1" type="noConversion"/>
  </si>
  <si>
    <r>
      <t>事</t>
    </r>
    <r>
      <rPr>
        <sz val="11"/>
        <color theme="1"/>
        <rFont val="Microsoft YaHei UI"/>
        <family val="2"/>
        <charset val="134"/>
      </rPr>
      <t xml:space="preserve">业计划 </t>
    </r>
    <r>
      <rPr>
        <sz val="11"/>
        <color theme="1"/>
        <rFont val="맑은 고딕"/>
        <family val="2"/>
        <charset val="129"/>
      </rPr>
      <t>사업계획</t>
    </r>
    <phoneticPr fontId="1" type="noConversion"/>
  </si>
  <si>
    <r>
      <rPr>
        <sz val="11"/>
        <color theme="1"/>
        <rFont val="Microsoft YaHei UI"/>
        <family val="2"/>
        <charset val="134"/>
      </rPr>
      <t>销售额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예상실적</t>
    </r>
    <phoneticPr fontId="1" type="noConversion"/>
  </si>
  <si>
    <r>
      <rPr>
        <sz val="11"/>
        <color rgb="FF000000"/>
        <rFont val="Microsoft YaHei UI"/>
        <family val="2"/>
        <charset val="134"/>
      </rPr>
      <t>达成率</t>
    </r>
    <r>
      <rPr>
        <sz val="11"/>
        <color rgb="FF000000"/>
        <rFont val="맑은 고딕"/>
        <family val="3"/>
        <charset val="129"/>
      </rPr>
      <t xml:space="preserve"> 달성률</t>
    </r>
  </si>
  <si>
    <r>
      <rPr>
        <sz val="11"/>
        <color rgb="FF000000"/>
        <rFont val="맑은 고딕"/>
        <family val="3"/>
        <charset val="129"/>
      </rPr>
      <t xml:space="preserve">增长率 </t>
    </r>
    <r>
      <rPr>
        <sz val="11"/>
        <color rgb="FF000000"/>
        <rFont val="맑은 고딕"/>
        <family val="2"/>
        <scheme val="minor"/>
      </rPr>
      <t>성장률</t>
    </r>
  </si>
  <si>
    <t>GZ</t>
    <phoneticPr fontId="1" type="noConversion"/>
  </si>
  <si>
    <t>YSGB</t>
    <phoneticPr fontId="1" type="noConversion"/>
  </si>
  <si>
    <t>구   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</si>
  <si>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</si>
  <si>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</si>
  <si>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</si>
  <si>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25년 매출</t>
    <phoneticPr fontId="1" type="noConversion"/>
  </si>
  <si>
    <t>사업계획</t>
    <phoneticPr fontId="1" type="noConversion"/>
  </si>
  <si>
    <t>예상실적</t>
    <phoneticPr fontId="1" type="noConversion"/>
  </si>
  <si>
    <t>-</t>
    <phoneticPr fontId="1" type="noConversion"/>
  </si>
  <si>
    <t>달성률(%)</t>
  </si>
  <si>
    <t>성장률(%)</t>
    <phoneticPr fontId="1" type="noConversion"/>
  </si>
  <si>
    <t>달성률(%)</t>
    <phoneticPr fontId="1" type="noConversion"/>
  </si>
  <si>
    <r>
      <rPr>
        <b/>
        <sz val="11"/>
        <color theme="1"/>
        <rFont val="Microsoft YaHei UI"/>
        <family val="2"/>
        <charset val="134"/>
      </rPr>
      <t>2</t>
    </r>
    <r>
      <rPr>
        <b/>
        <sz val="11"/>
        <color theme="1"/>
        <rFont val="맑은 고딕"/>
        <family val="2"/>
        <charset val="129"/>
        <scheme val="minor"/>
      </rPr>
      <t>. 26년 3月</t>
    </r>
    <r>
      <rPr>
        <b/>
        <sz val="11"/>
        <color theme="1"/>
        <rFont val="Microsoft YaHei UI"/>
        <family val="2"/>
        <charset val="134"/>
      </rPr>
      <t xml:space="preserve"> </t>
    </r>
    <r>
      <rPr>
        <b/>
        <sz val="11"/>
        <color theme="1"/>
        <rFont val="맑은 고딕"/>
        <family val="2"/>
        <charset val="129"/>
      </rPr>
      <t xml:space="preserve">누적 </t>
    </r>
    <r>
      <rPr>
        <b/>
        <sz val="11"/>
        <color theme="1"/>
        <rFont val="맑은 고딕"/>
        <family val="2"/>
        <charset val="129"/>
        <scheme val="minor"/>
      </rPr>
      <t>예상 매출 累</t>
    </r>
    <r>
      <rPr>
        <b/>
        <sz val="11"/>
        <color theme="1"/>
        <rFont val="Microsoft YaHei UI"/>
        <family val="2"/>
        <charset val="134"/>
      </rPr>
      <t>计销售预计</t>
    </r>
    <r>
      <rPr>
        <b/>
        <sz val="11"/>
        <color theme="1"/>
        <rFont val="맑은 고딕"/>
        <family val="2"/>
        <charset val="134"/>
        <scheme val="minor"/>
      </rPr>
      <t>(客</t>
    </r>
    <r>
      <rPr>
        <b/>
        <sz val="11"/>
        <color theme="1"/>
        <rFont val="Microsoft YaHei UI"/>
        <family val="2"/>
        <charset val="134"/>
      </rPr>
      <t>户别</t>
    </r>
    <r>
      <rPr>
        <b/>
        <sz val="11"/>
        <color theme="1"/>
        <rFont val="맑은 고딕"/>
        <family val="2"/>
        <charset val="134"/>
        <scheme val="minor"/>
      </rPr>
      <t>)</t>
    </r>
    <phoneticPr fontId="1" type="noConversion"/>
  </si>
  <si>
    <t>26年1-2月首次上市</t>
    <phoneticPr fontId="1" type="noConversion"/>
  </si>
  <si>
    <t>3-1. 채널별 월별 매출</t>
    <phoneticPr fontId="1" type="noConversion"/>
  </si>
  <si>
    <t>26年3月首次上市</t>
    <phoneticPr fontId="1" type="noConversion"/>
  </si>
  <si>
    <t>排名</t>
    <phoneticPr fontId="1" type="noConversion"/>
  </si>
  <si>
    <r>
      <t>客</t>
    </r>
    <r>
      <rPr>
        <b/>
        <sz val="11"/>
        <color theme="1"/>
        <rFont val="Microsoft YaHei"/>
        <family val="2"/>
        <charset val="134"/>
      </rPr>
      <t>户</t>
    </r>
    <r>
      <rPr>
        <b/>
        <sz val="11"/>
        <color theme="1"/>
        <rFont val="맑은 고딕"/>
        <family val="2"/>
        <charset val="129"/>
        <scheme val="minor"/>
      </rPr>
      <t xml:space="preserve"> 고객</t>
    </r>
    <phoneticPr fontId="1" type="noConversion"/>
  </si>
  <si>
    <t>渠道 채널</t>
    <phoneticPr fontId="1" type="noConversion"/>
  </si>
  <si>
    <r>
      <t>新客</t>
    </r>
    <r>
      <rPr>
        <b/>
        <sz val="11"/>
        <color theme="1"/>
        <rFont val="Microsoft YaHei"/>
        <family val="2"/>
        <charset val="134"/>
      </rPr>
      <t>户</t>
    </r>
    <r>
      <rPr>
        <b/>
        <sz val="11"/>
        <color theme="1"/>
        <rFont val="맑은 고딕"/>
        <family val="2"/>
        <charset val="129"/>
      </rPr>
      <t>(Y,N)</t>
    </r>
    <phoneticPr fontId="1" type="noConversion"/>
  </si>
  <si>
    <r>
      <t>3</t>
    </r>
    <r>
      <rPr>
        <b/>
        <sz val="11"/>
        <color theme="1"/>
        <rFont val="맑은 고딕"/>
        <family val="2"/>
        <charset val="129"/>
      </rPr>
      <t>,</t>
    </r>
    <r>
      <rPr>
        <b/>
        <sz val="11"/>
        <color theme="1"/>
        <rFont val="Noto Sans KR"/>
        <family val="2"/>
        <charset val="134"/>
      </rPr>
      <t>4</t>
    </r>
    <r>
      <rPr>
        <b/>
        <sz val="11"/>
        <color theme="1"/>
        <rFont val="Microsoft YaHei"/>
        <family val="2"/>
        <charset val="134"/>
      </rPr>
      <t>线</t>
    </r>
    <r>
      <rPr>
        <b/>
        <sz val="11"/>
        <color theme="1"/>
        <rFont val="Noto Sans KR"/>
        <family val="2"/>
        <charset val="134"/>
      </rPr>
      <t>(Y,N)</t>
    </r>
    <phoneticPr fontId="1" type="noConversion"/>
  </si>
  <si>
    <t>25年销售</t>
    <phoneticPr fontId="1" type="noConversion"/>
  </si>
  <si>
    <r>
      <rPr>
        <b/>
        <sz val="11"/>
        <color theme="1"/>
        <rFont val="맑은 고딕"/>
        <family val="2"/>
        <charset val="129"/>
      </rPr>
      <t>25年</t>
    </r>
    <r>
      <rPr>
        <b/>
        <sz val="11"/>
        <color theme="1"/>
        <rFont val="Noto Sans KR"/>
        <family val="2"/>
        <charset val="134"/>
      </rPr>
      <t>销售</t>
    </r>
    <r>
      <rPr>
        <b/>
        <sz val="11"/>
        <color theme="1"/>
        <rFont val="맑은 고딕"/>
        <family val="2"/>
        <charset val="129"/>
      </rPr>
      <t>(</t>
    </r>
    <r>
      <rPr>
        <b/>
        <sz val="11"/>
        <color theme="1"/>
        <rFont val="Noto Sans KR"/>
        <family val="2"/>
        <charset val="134"/>
      </rPr>
      <t>同期</t>
    </r>
    <r>
      <rPr>
        <b/>
        <sz val="11"/>
        <color theme="1"/>
        <rFont val="맑은 고딕"/>
        <family val="2"/>
        <charset val="129"/>
      </rPr>
      <t>)</t>
    </r>
    <phoneticPr fontId="1" type="noConversion"/>
  </si>
  <si>
    <r>
      <rPr>
        <b/>
        <sz val="11"/>
        <color theme="1"/>
        <rFont val="Microsoft YaHei UI"/>
        <family val="2"/>
        <charset val="134"/>
      </rPr>
      <t>26年</t>
    </r>
    <r>
      <rPr>
        <b/>
        <sz val="11"/>
        <color theme="1"/>
        <rFont val="맑은 고딕"/>
        <family val="2"/>
        <charset val="129"/>
        <scheme val="minor"/>
      </rPr>
      <t>事</t>
    </r>
    <r>
      <rPr>
        <b/>
        <sz val="11"/>
        <color theme="1"/>
        <rFont val="Microsoft YaHei"/>
        <family val="2"/>
        <charset val="134"/>
      </rPr>
      <t>业计划</t>
    </r>
    <phoneticPr fontId="1" type="noConversion"/>
  </si>
  <si>
    <r>
      <rPr>
        <b/>
        <sz val="11"/>
        <color theme="1"/>
        <rFont val="Microsoft YaHei"/>
        <family val="2"/>
        <charset val="134"/>
      </rPr>
      <t>1Q 销</t>
    </r>
    <r>
      <rPr>
        <b/>
        <sz val="11"/>
        <color theme="1"/>
        <rFont val="Noto Sans KR"/>
        <family val="2"/>
        <charset val="134"/>
      </rPr>
      <t>售</t>
    </r>
    <r>
      <rPr>
        <b/>
        <sz val="11"/>
        <color theme="1"/>
        <rFont val="맑은 고딕"/>
        <family val="2"/>
        <charset val="129"/>
      </rPr>
      <t xml:space="preserve"> 매출액</t>
    </r>
    <phoneticPr fontId="1" type="noConversion"/>
  </si>
  <si>
    <t>25年比排名</t>
    <phoneticPr fontId="1" type="noConversion"/>
  </si>
  <si>
    <t>25년 1월</t>
  </si>
  <si>
    <t>25년 2월</t>
  </si>
  <si>
    <t>25년 3월</t>
  </si>
  <si>
    <t>25년 1Q</t>
  </si>
  <si>
    <t>25년 4월</t>
  </si>
  <si>
    <t>25년 5월</t>
  </si>
  <si>
    <t>25년 6월</t>
  </si>
  <si>
    <t>25년 2Q</t>
  </si>
  <si>
    <t>25년 7월</t>
  </si>
  <si>
    <t>25년 8월</t>
  </si>
  <si>
    <t>25년 9월</t>
  </si>
  <si>
    <t>25년 3Q</t>
  </si>
  <si>
    <t>25년 10월</t>
  </si>
  <si>
    <t>25년 11월</t>
  </si>
  <si>
    <t>25년 12월</t>
  </si>
  <si>
    <t>25년 4Q</t>
  </si>
  <si>
    <t>Total</t>
  </si>
  <si>
    <t xml:space="preserve"> 一线城市 </t>
  </si>
  <si>
    <t>온라인</t>
  </si>
  <si>
    <r>
      <t>线</t>
    </r>
    <r>
      <rPr>
        <b/>
        <sz val="11"/>
        <color theme="1"/>
        <rFont val="맑은 고딕"/>
        <family val="3"/>
        <charset val="129"/>
        <scheme val="minor"/>
      </rPr>
      <t>上</t>
    </r>
  </si>
  <si>
    <t xml:space="preserve"> 二线城市 </t>
  </si>
  <si>
    <t>왕홍</t>
  </si>
  <si>
    <r>
      <t>红</t>
    </r>
    <r>
      <rPr>
        <b/>
        <sz val="11"/>
        <color theme="1"/>
        <rFont val="맑은 고딕"/>
        <family val="3"/>
        <charset val="129"/>
        <scheme val="minor"/>
      </rPr>
      <t>人</t>
    </r>
  </si>
  <si>
    <t>오프라인</t>
  </si>
  <si>
    <r>
      <t>线</t>
    </r>
    <r>
      <rPr>
        <b/>
        <sz val="11"/>
        <color theme="1"/>
        <rFont val="맑은 고딕"/>
        <family val="3"/>
        <charset val="129"/>
        <scheme val="minor"/>
      </rPr>
      <t>下</t>
    </r>
  </si>
  <si>
    <t>수출</t>
  </si>
  <si>
    <t>出口</t>
  </si>
  <si>
    <t>합</t>
  </si>
  <si>
    <t xml:space="preserve"> 三线城市及其他 </t>
  </si>
  <si>
    <t>3. 채널별 매출 비중</t>
    <phoneticPr fontId="1" type="noConversion"/>
  </si>
  <si>
    <r>
      <t>25年</t>
    </r>
    <r>
      <rPr>
        <b/>
        <sz val="11"/>
        <color theme="1"/>
        <rFont val="Microsoft YaHei"/>
        <family val="2"/>
        <charset val="134"/>
      </rPr>
      <t>销</t>
    </r>
    <r>
      <rPr>
        <b/>
        <sz val="11"/>
        <color theme="1"/>
        <rFont val="Noto Sans KR"/>
        <family val="2"/>
        <charset val="134"/>
      </rPr>
      <t>售（1~12月）</t>
    </r>
    <phoneticPr fontId="1" type="noConversion"/>
  </si>
  <si>
    <t>비중</t>
    <phoneticPr fontId="1" type="noConversion"/>
  </si>
  <si>
    <r>
      <t>26年</t>
    </r>
    <r>
      <rPr>
        <b/>
        <sz val="11"/>
        <color theme="1"/>
        <rFont val="Microsoft YaHei"/>
        <family val="2"/>
        <charset val="134"/>
      </rPr>
      <t>销</t>
    </r>
    <r>
      <rPr>
        <b/>
        <sz val="11"/>
        <color theme="1"/>
        <rFont val="Noto Sans KR"/>
        <family val="2"/>
        <charset val="134"/>
      </rPr>
      <t>售（1~3月）</t>
    </r>
    <phoneticPr fontId="1" type="noConversion"/>
  </si>
  <si>
    <t>계획비달성</t>
    <phoneticPr fontId="1" type="noConversion"/>
  </si>
  <si>
    <t>전년대비 비중</t>
    <phoneticPr fontId="1" type="noConversion"/>
  </si>
  <si>
    <t>온라인</t>
    <phoneticPr fontId="1" type="noConversion"/>
  </si>
  <si>
    <t>线上</t>
    <phoneticPr fontId="1" type="noConversion"/>
  </si>
  <si>
    <t>왕홍</t>
    <phoneticPr fontId="1" type="noConversion"/>
  </si>
  <si>
    <t>红人</t>
    <phoneticPr fontId="1" type="noConversion"/>
  </si>
  <si>
    <t>오프라인</t>
    <phoneticPr fontId="1" type="noConversion"/>
  </si>
  <si>
    <t>线下</t>
    <phoneticPr fontId="1" type="noConversion"/>
  </si>
  <si>
    <t>수출</t>
    <phoneticPr fontId="1" type="noConversion"/>
  </si>
  <si>
    <t>出口</t>
    <phoneticPr fontId="1" type="noConversion"/>
  </si>
  <si>
    <t>3월 결책회의 신고객(3월이후)</t>
    <phoneticPr fontId="1" type="noConversion"/>
  </si>
  <si>
    <t>4. 채널별 사업계획</t>
  </si>
  <si>
    <t>DDD</t>
  </si>
  <si>
    <t>XHN</t>
  </si>
  <si>
    <t>26年</t>
  </si>
  <si>
    <t>ZLO</t>
  </si>
  <si>
    <t>线上</t>
  </si>
  <si>
    <t>DYL</t>
  </si>
  <si>
    <t>红人</t>
  </si>
  <si>
    <t>YMG</t>
  </si>
  <si>
    <t>线下</t>
  </si>
  <si>
    <t>LPL</t>
  </si>
  <si>
    <t>JFN</t>
  </si>
  <si>
    <t>WKK</t>
  </si>
  <si>
    <t>XJM</t>
  </si>
  <si>
    <t>BAF</t>
  </si>
  <si>
    <t>SDH</t>
  </si>
  <si>
    <t>NXB</t>
  </si>
  <si>
    <t>KATO</t>
    <phoneticPr fontId="17" type="noConversion"/>
  </si>
  <si>
    <t>BSM</t>
  </si>
  <si>
    <t>GPN</t>
  </si>
  <si>
    <t>PAC</t>
    <phoneticPr fontId="17" type="noConversion"/>
  </si>
  <si>
    <t>YBT</t>
    <phoneticPr fontId="17" type="noConversion"/>
  </si>
  <si>
    <t>/</t>
  </si>
  <si>
    <t>DDY</t>
  </si>
  <si>
    <t>YWH</t>
  </si>
  <si>
    <t>ZDA</t>
  </si>
  <si>
    <t>GPL</t>
  </si>
  <si>
    <t>XUK</t>
  </si>
  <si>
    <t>KVK</t>
  </si>
  <si>
    <t>GSR</t>
  </si>
  <si>
    <t>FIR</t>
  </si>
  <si>
    <t>순위</t>
    <phoneticPr fontId="1" type="noConversion"/>
  </si>
  <si>
    <t>고객사</t>
    <phoneticPr fontId="1" type="noConversion"/>
  </si>
  <si>
    <t>채널</t>
    <phoneticPr fontId="1" type="noConversion"/>
  </si>
  <si>
    <t>신규처</t>
    <phoneticPr fontId="1" type="noConversion"/>
  </si>
  <si>
    <t>3,4선</t>
    <phoneticPr fontId="1" type="noConversion"/>
  </si>
  <si>
    <t>25년매출</t>
    <phoneticPr fontId="1" type="noConversion"/>
  </si>
  <si>
    <t>25년매출(동기)</t>
    <phoneticPr fontId="1" type="noConversion"/>
  </si>
  <si>
    <t>예상매출</t>
    <phoneticPr fontId="1" type="noConversion"/>
  </si>
  <si>
    <t>전년대비순위</t>
    <phoneticPr fontId="1" type="noConversion"/>
  </si>
  <si>
    <t>성장률</t>
    <phoneticPr fontId="1" type="noConversion"/>
  </si>
  <si>
    <t>사업계획비달성률</t>
    <phoneticPr fontId="1" type="noConversion"/>
  </si>
  <si>
    <t>점유율</t>
    <phoneticPr fontId="1" type="noConversion"/>
  </si>
  <si>
    <t>ZPX</t>
  </si>
  <si>
    <t>-</t>
  </si>
  <si>
    <t>CGO</t>
  </si>
  <si>
    <t>GFM</t>
  </si>
  <si>
    <t>GYM</t>
  </si>
  <si>
    <t>YBA</t>
  </si>
  <si>
    <t>▲2</t>
  </si>
  <si>
    <t>YJJ</t>
  </si>
  <si>
    <t>WDL</t>
  </si>
  <si>
    <t>DTA</t>
  </si>
  <si>
    <t>▼1</t>
  </si>
  <si>
    <t>GRO</t>
  </si>
  <si>
    <t>YMG</t>
    <phoneticPr fontId="1" type="noConversion"/>
  </si>
  <si>
    <t>SAM</t>
  </si>
  <si>
    <t>ATA</t>
  </si>
  <si>
    <t>JV-其他</t>
  </si>
  <si>
    <t>ZIF</t>
  </si>
  <si>
    <t>▲5</t>
  </si>
  <si>
    <t>MNS</t>
  </si>
  <si>
    <t>WXJ</t>
  </si>
  <si>
    <t>HLR</t>
  </si>
  <si>
    <t>MIN</t>
  </si>
  <si>
    <t>▼7</t>
  </si>
  <si>
    <t>JJH</t>
  </si>
  <si>
    <t>ZLS</t>
  </si>
  <si>
    <t>▲3</t>
  </si>
  <si>
    <t>VCI</t>
  </si>
  <si>
    <t>QIN</t>
  </si>
  <si>
    <t>▼4</t>
  </si>
  <si>
    <t>KFZ</t>
  </si>
  <si>
    <t>SAT</t>
  </si>
  <si>
    <t>HZH</t>
  </si>
  <si>
    <t>JMS</t>
  </si>
  <si>
    <t>MZS</t>
  </si>
  <si>
    <t>DSM</t>
  </si>
  <si>
    <t>KZQ</t>
  </si>
  <si>
    <t>DJD</t>
  </si>
  <si>
    <t>▲14</t>
  </si>
  <si>
    <t>PIM</t>
  </si>
  <si>
    <t>TOP 10 고객사 합계</t>
    <phoneticPr fontId="1" type="noConversion"/>
  </si>
  <si>
    <t>TOP 20 고객사 합계</t>
    <phoneticPr fontId="1" type="noConversion"/>
  </si>
  <si>
    <t>TOP 30 고객사 합계</t>
    <phoneticPr fontId="1" type="noConversion"/>
  </si>
  <si>
    <t>序号</t>
  </si>
  <si>
    <t>新客户</t>
  </si>
  <si>
    <t>最初销售日期</t>
  </si>
  <si>
    <t>渠道明细</t>
  </si>
  <si>
    <t>渠道归类</t>
  </si>
  <si>
    <t>集团</t>
  </si>
  <si>
    <t>25年实绩</t>
  </si>
  <si>
    <t>25년순위</t>
    <phoneticPr fontId="1" type="noConversion"/>
  </si>
  <si>
    <t>N</t>
  </si>
  <si>
    <t>抖音  快手 天猫  淘宝  得物</t>
  </si>
  <si>
    <t>东南亚</t>
  </si>
  <si>
    <t/>
  </si>
  <si>
    <t>抖音</t>
  </si>
  <si>
    <t>全渠道</t>
  </si>
  <si>
    <t>微信代理+直播+私域</t>
  </si>
  <si>
    <t>会员商店、山姆APP、京东</t>
  </si>
  <si>
    <t>国内门店</t>
  </si>
  <si>
    <t>快手</t>
  </si>
  <si>
    <t>淘宝/快手</t>
  </si>
  <si>
    <t>MJE</t>
  </si>
  <si>
    <t>JRQ</t>
  </si>
  <si>
    <t>线上渠道</t>
  </si>
  <si>
    <t>FUY</t>
  </si>
  <si>
    <t>其他</t>
  </si>
  <si>
    <t>美容院</t>
  </si>
  <si>
    <t>私域</t>
  </si>
  <si>
    <t>抖音、快手、淘宝、得物、拼多多、线下彩妆集合店、出口东南亚</t>
  </si>
  <si>
    <t>线上：微商。线下：商场</t>
  </si>
  <si>
    <t>天猫、淘宝</t>
  </si>
  <si>
    <t>CSL</t>
  </si>
  <si>
    <t>私域APP</t>
  </si>
  <si>
    <t>SDK</t>
  </si>
  <si>
    <t>线上全渠道、CS渠道、专卖店,出口东南亚</t>
  </si>
  <si>
    <t>WDO</t>
  </si>
  <si>
    <t>线上（抖音快手）/线下（商超）</t>
  </si>
  <si>
    <t>四五线城市美妆店</t>
  </si>
  <si>
    <t>HYX</t>
  </si>
  <si>
    <t>线下美容院</t>
  </si>
  <si>
    <t>抖音快手（分销），出口东南亚</t>
  </si>
  <si>
    <t>CIY</t>
  </si>
  <si>
    <t>直销，自营平台</t>
  </si>
  <si>
    <t>WNM</t>
  </si>
  <si>
    <t>天猫、京东、拼多多</t>
  </si>
  <si>
    <t>NAS</t>
  </si>
  <si>
    <t>精品店</t>
  </si>
  <si>
    <t>GLI</t>
  </si>
  <si>
    <t>淘系直播、抖音直播</t>
  </si>
  <si>
    <t>ANY</t>
  </si>
  <si>
    <t>抖音，电播</t>
  </si>
  <si>
    <t>FXC</t>
  </si>
  <si>
    <t>淘宝/抖音/直播/门店</t>
  </si>
  <si>
    <t>JYN</t>
  </si>
  <si>
    <t>FRA</t>
  </si>
  <si>
    <t>快手、抖音</t>
  </si>
  <si>
    <t>YDD</t>
  </si>
  <si>
    <t>MON</t>
  </si>
  <si>
    <t>GZL</t>
  </si>
  <si>
    <t>天猫、抖音+快手+私域</t>
  </si>
  <si>
    <t>XDG</t>
  </si>
  <si>
    <t>抖音、淘宝、快手、名创门店，出口菲律宾</t>
  </si>
  <si>
    <t>MNU</t>
  </si>
  <si>
    <t>线下店铺</t>
  </si>
  <si>
    <t>JVJ</t>
  </si>
  <si>
    <t>线上/线下</t>
  </si>
  <si>
    <t>STQ</t>
  </si>
  <si>
    <t>ROS</t>
  </si>
  <si>
    <t>WEC</t>
  </si>
  <si>
    <t>天猫国际站</t>
  </si>
  <si>
    <t>AIU</t>
  </si>
  <si>
    <t>BAN</t>
  </si>
  <si>
    <t>线上淘系、线下故宫</t>
  </si>
  <si>
    <t>GTB</t>
  </si>
  <si>
    <t>淘宝天猫</t>
  </si>
  <si>
    <t>WSL</t>
  </si>
  <si>
    <t>IMP</t>
  </si>
  <si>
    <t>淘宝、抖音、拼多多</t>
  </si>
  <si>
    <t>XNG</t>
  </si>
  <si>
    <t>FDS</t>
  </si>
  <si>
    <t>线上：淘宝，抖音。线下：屈臣氏，wow clour</t>
  </si>
  <si>
    <t>ATR</t>
  </si>
  <si>
    <t>抖音/快手/小红书</t>
  </si>
  <si>
    <t>JXS</t>
  </si>
  <si>
    <t>商超</t>
  </si>
  <si>
    <t>RND</t>
  </si>
  <si>
    <t>抖音直播</t>
  </si>
  <si>
    <t>LMG</t>
  </si>
  <si>
    <t>天猫/抖音/门店/东南亚</t>
  </si>
  <si>
    <t>淘宝/京东</t>
  </si>
  <si>
    <t>XCN</t>
  </si>
  <si>
    <t>XPR</t>
  </si>
  <si>
    <t>BER</t>
  </si>
  <si>
    <t>FZR</t>
  </si>
  <si>
    <t>抖音/小红书</t>
  </si>
  <si>
    <t>BEY</t>
  </si>
  <si>
    <t>线下门店</t>
  </si>
  <si>
    <t>XLM</t>
  </si>
  <si>
    <t>AJL</t>
  </si>
  <si>
    <t>线下专卖店</t>
  </si>
  <si>
    <t>CFZ</t>
  </si>
  <si>
    <t>美容院、抖音</t>
  </si>
  <si>
    <t>GCD</t>
  </si>
  <si>
    <t>淘宝，抖音，小红书</t>
  </si>
  <si>
    <t>MLF</t>
  </si>
  <si>
    <t>淘/天、抖/快、专卖店</t>
  </si>
  <si>
    <t>RMG</t>
  </si>
  <si>
    <t>LHY</t>
  </si>
  <si>
    <t>MYS</t>
  </si>
  <si>
    <t>Y</t>
  </si>
  <si>
    <t>PZY</t>
  </si>
  <si>
    <t>PIN</t>
  </si>
  <si>
    <t>三四五线城市品牌店</t>
  </si>
  <si>
    <t>XNX</t>
  </si>
  <si>
    <t>YMX</t>
  </si>
  <si>
    <t>YOD</t>
  </si>
  <si>
    <t>FAN</t>
  </si>
  <si>
    <t>微信、专卖店</t>
  </si>
  <si>
    <t>QNS</t>
  </si>
  <si>
    <t>CZM</t>
  </si>
  <si>
    <t>线上全渠道、CS渠道</t>
  </si>
  <si>
    <t>GBW</t>
  </si>
  <si>
    <t>小红书/抖音</t>
  </si>
  <si>
    <t>RSB</t>
  </si>
  <si>
    <t>微商</t>
  </si>
  <si>
    <t>MLE</t>
  </si>
  <si>
    <t>YNY</t>
  </si>
  <si>
    <t>DXY</t>
  </si>
  <si>
    <t>GMM</t>
  </si>
  <si>
    <t>抖音/快手/小红书/出口</t>
  </si>
  <si>
    <t>LBK</t>
  </si>
  <si>
    <t>YLJ</t>
  </si>
  <si>
    <t>ALT</t>
  </si>
  <si>
    <t>天猫/抖音/专卖店</t>
  </si>
  <si>
    <t>ZCJ</t>
  </si>
  <si>
    <t>直销</t>
  </si>
  <si>
    <t>SHH</t>
  </si>
  <si>
    <t>KNA</t>
  </si>
  <si>
    <t>淘宝/抖音/商城</t>
  </si>
  <si>
    <t>NEW</t>
  </si>
  <si>
    <t>院线</t>
  </si>
  <si>
    <t>JNH</t>
  </si>
  <si>
    <t>GNB</t>
  </si>
  <si>
    <t>KRB</t>
  </si>
  <si>
    <t>虾皮、Tik Tok</t>
  </si>
  <si>
    <t>YYD</t>
  </si>
  <si>
    <t>直播抖音</t>
  </si>
  <si>
    <t>出口马来西亚</t>
  </si>
  <si>
    <t>KKL</t>
  </si>
  <si>
    <t>GZG</t>
  </si>
  <si>
    <t>抖音+快手</t>
  </si>
  <si>
    <t>HQH</t>
  </si>
  <si>
    <t>YXL</t>
  </si>
  <si>
    <t>微信、私域</t>
  </si>
  <si>
    <t>FBL</t>
  </si>
  <si>
    <t>淘宝、屈臣氏</t>
  </si>
  <si>
    <t>淘宝、天猫、抖音</t>
  </si>
  <si>
    <t>FLJ</t>
  </si>
  <si>
    <t>线上、专卖店</t>
  </si>
  <si>
    <t>QGY</t>
  </si>
  <si>
    <t>DRC</t>
  </si>
  <si>
    <t>淘/天、抖/快</t>
  </si>
  <si>
    <t>ECX</t>
  </si>
  <si>
    <t>XMS</t>
  </si>
  <si>
    <t>BSO</t>
  </si>
  <si>
    <t>WNA</t>
  </si>
  <si>
    <t>JYB</t>
  </si>
  <si>
    <t>出口蒙古</t>
  </si>
  <si>
    <t>DRW</t>
  </si>
  <si>
    <t>出口（缅甸）</t>
  </si>
  <si>
    <t>LEG</t>
  </si>
  <si>
    <t>线上：淘宝 抖音 拼多多</t>
  </si>
  <si>
    <t>IWA</t>
  </si>
  <si>
    <t>淘宝</t>
  </si>
  <si>
    <t>YHM</t>
  </si>
  <si>
    <t>线上（抖音快手天猫）</t>
  </si>
  <si>
    <t>JXM</t>
  </si>
  <si>
    <t>BYY</t>
  </si>
  <si>
    <t>抖音，代理商</t>
  </si>
  <si>
    <t>BSY</t>
  </si>
  <si>
    <t>MSG</t>
  </si>
  <si>
    <t>YRX</t>
  </si>
  <si>
    <t>抖音快手</t>
  </si>
  <si>
    <t>MLX</t>
  </si>
  <si>
    <t>LSL</t>
  </si>
  <si>
    <t>淘宝/快手/抖音/小红书</t>
  </si>
  <si>
    <t>ISC</t>
  </si>
  <si>
    <t>淘宝、微信、私域</t>
  </si>
  <si>
    <t>MRD</t>
  </si>
  <si>
    <t>tiktok,英国</t>
  </si>
  <si>
    <t>PLS</t>
  </si>
  <si>
    <t>NAN</t>
  </si>
  <si>
    <t>BIN</t>
  </si>
  <si>
    <t>SFE</t>
  </si>
  <si>
    <t>出口越南</t>
  </si>
  <si>
    <t>WLY</t>
  </si>
  <si>
    <t>KUF</t>
  </si>
  <si>
    <t>OVM</t>
  </si>
  <si>
    <t>商超、全电商平台</t>
  </si>
  <si>
    <t>OST</t>
  </si>
  <si>
    <t>PLD</t>
  </si>
  <si>
    <t>抖音、专卖店</t>
  </si>
  <si>
    <t>LAP</t>
  </si>
  <si>
    <t>微信、抖音</t>
  </si>
  <si>
    <t>AIC</t>
  </si>
  <si>
    <t>WBO</t>
  </si>
  <si>
    <t>门店</t>
  </si>
  <si>
    <t>JMH</t>
  </si>
  <si>
    <t>JDJ</t>
  </si>
  <si>
    <t>线上（微商/小程序）</t>
  </si>
  <si>
    <t>ZZL</t>
  </si>
  <si>
    <t>淘宝、抖音</t>
  </si>
  <si>
    <t>ZFC</t>
  </si>
  <si>
    <t>SFZ</t>
  </si>
  <si>
    <t>ZZJ</t>
  </si>
  <si>
    <t>抖音、快手</t>
  </si>
  <si>
    <t>ZTF</t>
  </si>
  <si>
    <t>JPJ</t>
  </si>
  <si>
    <t>LTI</t>
  </si>
  <si>
    <t>QZW</t>
  </si>
  <si>
    <t>都市丽人门店、线下商超</t>
  </si>
  <si>
    <t>FSY</t>
  </si>
  <si>
    <t>线下分销</t>
  </si>
  <si>
    <t>LJY</t>
  </si>
  <si>
    <t>美国</t>
  </si>
  <si>
    <t>NSG</t>
  </si>
  <si>
    <t>淘宝、专卖店</t>
  </si>
  <si>
    <t>LCI</t>
  </si>
  <si>
    <t>出口意大利</t>
  </si>
  <si>
    <t>VOL</t>
  </si>
  <si>
    <t>FZC</t>
  </si>
  <si>
    <t>ENF</t>
  </si>
  <si>
    <t>WZM</t>
  </si>
  <si>
    <t>HMH</t>
  </si>
  <si>
    <t>线上/出口泰国</t>
  </si>
  <si>
    <t>LUL</t>
  </si>
  <si>
    <t>线下专业渠道</t>
  </si>
  <si>
    <t>FLY</t>
  </si>
  <si>
    <t>SZR</t>
  </si>
  <si>
    <t>线上（全渠道）</t>
  </si>
  <si>
    <t>XDK</t>
  </si>
  <si>
    <t>LEE</t>
  </si>
  <si>
    <t>淘宝/抖音/线下门店</t>
  </si>
  <si>
    <t>SHB</t>
  </si>
  <si>
    <t>抖音、快手、小红书</t>
  </si>
  <si>
    <t>HEL</t>
  </si>
  <si>
    <t>线上（快手）</t>
  </si>
  <si>
    <t>BZD</t>
  </si>
  <si>
    <t>GPJ</t>
  </si>
  <si>
    <t>专卖店</t>
  </si>
  <si>
    <t>YXG</t>
  </si>
  <si>
    <t>YOU</t>
  </si>
  <si>
    <t>工厂</t>
  </si>
  <si>
    <t>DGF</t>
  </si>
  <si>
    <t>抖音/快手/出口</t>
  </si>
  <si>
    <t>DSO</t>
  </si>
  <si>
    <t>小红书/抖音/直播</t>
  </si>
  <si>
    <t>ZAL</t>
  </si>
  <si>
    <t>线下商场</t>
  </si>
  <si>
    <t>GQS</t>
  </si>
  <si>
    <t>电商</t>
  </si>
  <si>
    <t>LBY</t>
  </si>
  <si>
    <t>KDD</t>
  </si>
  <si>
    <t>天猫</t>
  </si>
  <si>
    <t>CKK</t>
  </si>
  <si>
    <t>抖音渠道</t>
  </si>
  <si>
    <t>YHS</t>
  </si>
  <si>
    <t>MEM</t>
  </si>
  <si>
    <t>CQJ</t>
  </si>
  <si>
    <t>CYW</t>
  </si>
  <si>
    <t>私域+美容院</t>
  </si>
  <si>
    <t>YSM</t>
  </si>
  <si>
    <t>美国，跨境</t>
  </si>
  <si>
    <t>酒店渠道</t>
  </si>
  <si>
    <t>LEO</t>
  </si>
  <si>
    <t>3T 其他</t>
  </si>
  <si>
    <t>ABL</t>
  </si>
  <si>
    <t>快手直播网红</t>
  </si>
  <si>
    <t>GLT</t>
  </si>
  <si>
    <t>天猫、快手、院线</t>
  </si>
  <si>
    <t>LYL</t>
  </si>
  <si>
    <t>DKY</t>
  </si>
  <si>
    <t>YXZ</t>
  </si>
  <si>
    <t>BBR</t>
  </si>
  <si>
    <t>KIO</t>
  </si>
  <si>
    <t>KBA</t>
  </si>
  <si>
    <t>线上、直播</t>
  </si>
  <si>
    <t>淘宝、抖音、快手</t>
  </si>
  <si>
    <t>HBB</t>
  </si>
  <si>
    <t>CCM</t>
  </si>
  <si>
    <t>DDJ</t>
  </si>
  <si>
    <t>淘宝，抖音</t>
  </si>
  <si>
    <t>SQT</t>
  </si>
  <si>
    <t>抖音、微信</t>
  </si>
  <si>
    <t>DBY</t>
  </si>
  <si>
    <t>YAN</t>
  </si>
  <si>
    <t>YGC</t>
  </si>
  <si>
    <t>ZSS</t>
  </si>
  <si>
    <t>YLV</t>
  </si>
  <si>
    <t>OLZ</t>
  </si>
  <si>
    <t>ZUY</t>
  </si>
  <si>
    <t>DAD</t>
  </si>
  <si>
    <t>ZLK</t>
  </si>
  <si>
    <t>ULI</t>
  </si>
  <si>
    <t>ZMY</t>
  </si>
  <si>
    <t>SXT</t>
  </si>
  <si>
    <t>VAA</t>
  </si>
  <si>
    <t>HEX</t>
  </si>
  <si>
    <t>YNF</t>
  </si>
  <si>
    <t>XGZ</t>
  </si>
  <si>
    <t>ZJQ</t>
  </si>
  <si>
    <t>XNC</t>
  </si>
  <si>
    <t>抖音/快手</t>
  </si>
  <si>
    <t>LDO</t>
  </si>
  <si>
    <t>CYI</t>
  </si>
  <si>
    <t>SSR</t>
  </si>
  <si>
    <t>INW</t>
  </si>
  <si>
    <t>ZHJ</t>
  </si>
  <si>
    <t>MRW</t>
  </si>
  <si>
    <t>QSK</t>
  </si>
  <si>
    <t>MEX</t>
  </si>
  <si>
    <t>商场</t>
  </si>
  <si>
    <t>GJC</t>
  </si>
  <si>
    <t>微信</t>
  </si>
  <si>
    <t>ZRW</t>
  </si>
  <si>
    <t>线下美容院/专卖店</t>
  </si>
  <si>
    <t>ZSY</t>
  </si>
  <si>
    <t>BXI</t>
  </si>
  <si>
    <t>私域，抖音</t>
  </si>
  <si>
    <t>FUO</t>
  </si>
  <si>
    <t>KSY</t>
  </si>
  <si>
    <t>LVU</t>
  </si>
  <si>
    <t>HQX</t>
  </si>
  <si>
    <t>BHN</t>
  </si>
  <si>
    <t>UNV</t>
  </si>
  <si>
    <t>DRH</t>
  </si>
  <si>
    <t>DMY</t>
  </si>
  <si>
    <t>抖音,淘宝</t>
  </si>
  <si>
    <t>HUS</t>
  </si>
  <si>
    <t>电商购物</t>
  </si>
  <si>
    <t>HXS</t>
  </si>
  <si>
    <t>拼多多线上渠道</t>
  </si>
  <si>
    <t>ONR</t>
  </si>
  <si>
    <t>AMN</t>
  </si>
  <si>
    <t>YJD</t>
  </si>
  <si>
    <t>GMZ</t>
  </si>
  <si>
    <t>DEY</t>
  </si>
  <si>
    <t>FLA</t>
  </si>
  <si>
    <t>HAT</t>
  </si>
  <si>
    <t>TRY</t>
  </si>
  <si>
    <t>GYS</t>
  </si>
  <si>
    <t>CMR</t>
  </si>
  <si>
    <t>JFF</t>
  </si>
  <si>
    <t>公司内销</t>
  </si>
  <si>
    <t>HWB</t>
  </si>
  <si>
    <t>天猫淘宝</t>
  </si>
  <si>
    <t>KAE</t>
  </si>
  <si>
    <t>AOM</t>
  </si>
  <si>
    <t>旅游景点</t>
  </si>
  <si>
    <t>QML</t>
  </si>
  <si>
    <t>日本地区</t>
  </si>
  <si>
    <t>ZHG</t>
  </si>
  <si>
    <t>DLX</t>
  </si>
  <si>
    <t>NOI</t>
  </si>
  <si>
    <t>XNM</t>
  </si>
  <si>
    <t>微信、三四五线城市美妆店</t>
  </si>
  <si>
    <t>JZC</t>
  </si>
  <si>
    <t>MQC</t>
  </si>
  <si>
    <t>EDG</t>
  </si>
  <si>
    <t>YML</t>
  </si>
  <si>
    <t>HYD</t>
  </si>
  <si>
    <t>LIJ</t>
  </si>
  <si>
    <t>YPF</t>
  </si>
  <si>
    <t>TJE</t>
  </si>
  <si>
    <t>FOC</t>
  </si>
  <si>
    <t>乐沙儿</t>
  </si>
  <si>
    <t>不统计(学俊名下)</t>
  </si>
  <si>
    <t>ZBY</t>
  </si>
  <si>
    <t>淘宝 抖音</t>
  </si>
  <si>
    <t>SEA</t>
  </si>
  <si>
    <t>线下商超</t>
  </si>
  <si>
    <t>WAL</t>
  </si>
  <si>
    <t>HXM</t>
  </si>
  <si>
    <t>FLW</t>
  </si>
  <si>
    <t>ZUO</t>
  </si>
  <si>
    <t>其他（周璇）</t>
  </si>
  <si>
    <t>PRY</t>
  </si>
  <si>
    <t>TXB</t>
  </si>
  <si>
    <t>BSL</t>
  </si>
  <si>
    <t>HRF</t>
  </si>
  <si>
    <t>LEN</t>
  </si>
  <si>
    <t>MJH</t>
  </si>
  <si>
    <t>BMX</t>
  </si>
  <si>
    <t>天猫/直播</t>
  </si>
  <si>
    <t>OET</t>
  </si>
  <si>
    <t>QQC</t>
  </si>
  <si>
    <t>天猫+淘宝</t>
  </si>
  <si>
    <t>TZX</t>
  </si>
  <si>
    <t>直播</t>
  </si>
  <si>
    <t>WSY</t>
  </si>
  <si>
    <t>XJC</t>
  </si>
  <si>
    <t>SNN</t>
  </si>
  <si>
    <t>CJS</t>
  </si>
  <si>
    <t>DLL</t>
  </si>
  <si>
    <t>FJL</t>
  </si>
  <si>
    <t>FYY</t>
  </si>
  <si>
    <t>GJF</t>
  </si>
  <si>
    <t>商超、淘宝、抖音、京东</t>
  </si>
  <si>
    <t>HAH</t>
  </si>
  <si>
    <t>视频号</t>
  </si>
  <si>
    <t>JIM</t>
  </si>
  <si>
    <t>KSM</t>
  </si>
  <si>
    <t>LFN</t>
  </si>
  <si>
    <t>LPS</t>
  </si>
  <si>
    <t>线下体验店+直销代理</t>
  </si>
  <si>
    <t>LVS</t>
  </si>
  <si>
    <t>LZI</t>
  </si>
  <si>
    <t>MMK</t>
  </si>
  <si>
    <t>MSS</t>
  </si>
  <si>
    <t>TTS</t>
  </si>
  <si>
    <t>XYG</t>
  </si>
  <si>
    <t>NNN</t>
  </si>
  <si>
    <t>SJI</t>
  </si>
  <si>
    <t>SJS</t>
  </si>
  <si>
    <t>ZMT</t>
  </si>
  <si>
    <t>SWN</t>
  </si>
  <si>
    <t>天猫、抖音</t>
  </si>
  <si>
    <t>XLI</t>
  </si>
  <si>
    <t>XWY</t>
  </si>
  <si>
    <t>YRG</t>
  </si>
  <si>
    <t>YZL</t>
  </si>
  <si>
    <t>YGS</t>
  </si>
  <si>
    <t>UOK</t>
  </si>
  <si>
    <t>BFR</t>
  </si>
  <si>
    <t>AKY</t>
  </si>
  <si>
    <t>GKD</t>
  </si>
  <si>
    <t>BIG</t>
  </si>
  <si>
    <t>SYX</t>
  </si>
  <si>
    <t>GSW</t>
  </si>
  <si>
    <t>LIR</t>
  </si>
  <si>
    <t>QXI</t>
  </si>
  <si>
    <t>出口欧美</t>
  </si>
  <si>
    <t>YMT</t>
  </si>
  <si>
    <t>YSY</t>
  </si>
  <si>
    <t>美抖</t>
  </si>
  <si>
    <t>CXCX</t>
  </si>
  <si>
    <t>DRR</t>
  </si>
  <si>
    <t>ZJJ</t>
  </si>
  <si>
    <t>GZY</t>
  </si>
  <si>
    <t>AYW</t>
  </si>
  <si>
    <t>YLA</t>
  </si>
  <si>
    <t>XYD</t>
  </si>
  <si>
    <t>BEB</t>
  </si>
  <si>
    <t>YGY</t>
  </si>
  <si>
    <t>ZYX</t>
  </si>
  <si>
    <t>AIR</t>
  </si>
  <si>
    <t>BBK</t>
  </si>
  <si>
    <t>XFZ</t>
  </si>
  <si>
    <t>CBH</t>
  </si>
  <si>
    <t>2T 其他</t>
  </si>
  <si>
    <t>5T 其他</t>
  </si>
  <si>
    <t>3T易玲娟其他</t>
  </si>
  <si>
    <t>LAB</t>
  </si>
  <si>
    <t>1T 其他</t>
  </si>
  <si>
    <t>械字号</t>
  </si>
  <si>
    <t>唐三妹</t>
  </si>
  <si>
    <t>罗兰家纺</t>
  </si>
  <si>
    <t>交个朋友</t>
  </si>
  <si>
    <t>魔香</t>
  </si>
  <si>
    <t>洁柔</t>
  </si>
  <si>
    <t>yoons</t>
  </si>
  <si>
    <t>DFI</t>
  </si>
  <si>
    <t>赵露思</t>
  </si>
  <si>
    <t>AYN</t>
  </si>
  <si>
    <t xml:space="preserve">JVJ </t>
  </si>
  <si>
    <t>NSX</t>
  </si>
  <si>
    <t>九丽</t>
  </si>
  <si>
    <t>跨境电商+线上所有渠道</t>
  </si>
  <si>
    <t>云歌</t>
  </si>
  <si>
    <t>线上线下</t>
  </si>
  <si>
    <t>KATO</t>
  </si>
  <si>
    <t>BRR</t>
  </si>
  <si>
    <t>谷雨</t>
  </si>
  <si>
    <t>线上线下都有： 抖音居多</t>
  </si>
  <si>
    <t>抖音、天猫等</t>
  </si>
  <si>
    <t>LTF</t>
  </si>
  <si>
    <t>出口印度</t>
  </si>
  <si>
    <t>PAC</t>
  </si>
  <si>
    <t>YBT</t>
  </si>
  <si>
    <t>DAZ</t>
  </si>
  <si>
    <t>YZX</t>
  </si>
  <si>
    <t>抖音、快手，线下，天猫淘宝电商</t>
  </si>
  <si>
    <t>QZQ</t>
  </si>
  <si>
    <t>FEI</t>
  </si>
  <si>
    <t>BNA</t>
  </si>
  <si>
    <t>ZBT</t>
  </si>
  <si>
    <t xml:space="preserve"> N </t>
  </si>
  <si>
    <t xml:space="preserve"> Y </t>
  </si>
  <si>
    <t>25年1Q 排名</t>
  </si>
  <si>
    <t>▲1</t>
  </si>
  <si>
    <t>▲83</t>
  </si>
  <si>
    <t>▲113</t>
  </si>
  <si>
    <t>▲7</t>
  </si>
  <si>
    <t>▲111</t>
  </si>
  <si>
    <t>▼6</t>
  </si>
  <si>
    <t>▲19</t>
  </si>
  <si>
    <t>▲16</t>
  </si>
  <si>
    <t>▲103</t>
  </si>
  <si>
    <t>▲104</t>
  </si>
  <si>
    <t>▼10</t>
  </si>
  <si>
    <t>▼16</t>
  </si>
  <si>
    <t>▼11</t>
  </si>
  <si>
    <t>▼9</t>
  </si>
  <si>
    <t>▲96</t>
  </si>
  <si>
    <t>▲95</t>
  </si>
  <si>
    <t>▲92</t>
  </si>
  <si>
    <t>▲10</t>
  </si>
  <si>
    <t>▲56</t>
  </si>
  <si>
    <t>●</t>
    <phoneticPr fontId="1" type="noConversion"/>
  </si>
  <si>
    <t>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</si>
</sst>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_ "/>
    <numFmt numFmtId="179" formatCode="_ * #,##0_ ;_ * \-#,##0_ ;_ * &quot;-&quot;??_ ;_ @_ 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2"/>
      <charset val="129"/>
    </font>
    <font>
      <sz val="11"/>
      <color theme="1"/>
      <name val="Noto Sans KR"/>
      <family val="2"/>
      <charset val="134"/>
    </font>
    <font>
      <sz val="11"/>
      <color theme="1"/>
      <name val="맑은 고딕"/>
      <family val="2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2"/>
      <charset val="134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Yu Gothic"/>
      <family val="2"/>
      <charset val="128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2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맑은 고딕"/>
      <family val="2"/>
      <charset val="134"/>
      <scheme val="minor"/>
    </font>
    <font>
      <b/>
      <sz val="11"/>
      <color theme="1"/>
      <name val="Microsoft YaHei UI"/>
      <family val="2"/>
      <charset val="134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34"/>
      <scheme val="minor"/>
    </font>
    <font>
      <sz val="10"/>
      <color theme="1"/>
      <name val="맑은 고딕"/>
      <family val="3"/>
      <charset val="134"/>
      <scheme val="minor"/>
    </font>
    <font>
      <b/>
      <sz val="10"/>
      <name val="微软雅黑"/>
      <family val="2"/>
      <charset val="134"/>
    </font>
    <font>
      <b/>
      <sz val="11"/>
      <color theme="1"/>
      <name val="나눔스퀘어 네오 OTF Regular"/>
      <family val="3"/>
      <charset val="129"/>
    </font>
    <font>
      <sz val="11"/>
      <color theme="1"/>
      <name val="나눔스퀘어 네오 OTF Regular"/>
      <family val="3"/>
      <charset val="129"/>
    </font>
    <font>
      <b/>
      <sz val="11"/>
      <color theme="0"/>
      <name val="나눔스퀘어 네오 OTF Regular"/>
      <family val="3"/>
      <charset val="129"/>
    </font>
    <font>
      <sz val="11"/>
      <color theme="0"/>
      <name val="나눔스퀘어 네오 OTF Regular"/>
      <family val="3"/>
      <charset val="129"/>
    </font>
    <font>
      <sz val="11"/>
      <color rgb="FF000000"/>
      <name val="等线"/>
      <family val="3"/>
      <charset val="134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34"/>
      <scheme val="minor"/>
    </font>
    <font>
      <sz val="11"/>
      <color rgb="FF000000"/>
      <name val="Microsoft YaHei UI"/>
      <family val="2"/>
      <charset val="134"/>
    </font>
    <font>
      <sz val="11"/>
      <color rgb="FF000000"/>
      <name val="맑은 고딕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Microsoft YaHei UI"/>
      <family val="2"/>
      <charset val="129"/>
    </font>
    <font>
      <b/>
      <sz val="10"/>
      <color theme="0"/>
      <name val="나눔스퀘어 네오 OTF Bold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나눔스퀘어 네오 OTF Regular"/>
      <family val="3"/>
      <charset val="129"/>
    </font>
    <font>
      <sz val="10"/>
      <color rgb="FF00B0F0"/>
      <name val="나눔스퀘어 네오 OTF Regular"/>
      <family val="3"/>
      <charset val="129"/>
    </font>
    <font>
      <sz val="10"/>
      <color rgb="FFFF0000"/>
      <name val="나눔스퀘어 네오 OTF Regular"/>
      <family val="3"/>
      <charset val="129"/>
    </font>
    <font>
      <sz val="11"/>
      <color rgb="FF000000"/>
      <name val="等线"/>
      <charset val="134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38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6" tint="0.7993408001953185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medium">
        <color auto="1"/>
      </left>
      <right style="thin">
        <color theme="0" tint="-0.249977111117893"/>
      </right>
      <top/>
      <bottom style="medium">
        <color auto="1"/>
      </bottom>
      <diagonal/>
    </border>
    <border>
      <left/>
      <right style="thin">
        <color theme="0" tint="-0.249977111117893"/>
      </right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auto="1"/>
      </bottom>
      <diagonal/>
    </border>
    <border>
      <left style="thin">
        <color auto="1"/>
      </left>
      <right style="thin">
        <color theme="0" tint="-0.249977111117893"/>
      </right>
      <top/>
      <bottom style="medium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7">
    <xf numFmtId="0" fontId="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" fillId="0" borderId="0"/>
    <xf numFmtId="41" fontId="18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1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3" xfId="0" applyFont="1" applyBorder="1">
      <alignment vertical="center"/>
    </xf>
    <xf numFmtId="0" fontId="8" fillId="0" borderId="0" xfId="0" applyFont="1">
      <alignment vertical="center"/>
    </xf>
    <xf numFmtId="41" fontId="19" fillId="5" borderId="4" xfId="1" applyFont="1" applyFill="1" applyBorder="1">
      <alignment vertical="center"/>
    </xf>
    <xf numFmtId="0" fontId="12" fillId="0" borderId="0" xfId="0" applyFont="1" applyAlignment="1">
      <alignment horizontal="center" vertical="center"/>
    </xf>
    <xf numFmtId="41" fontId="0" fillId="0" borderId="1" xfId="1" applyFont="1" applyFill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8" fontId="21" fillId="0" borderId="1" xfId="1" applyNumberFormat="1" applyFont="1" applyBorder="1" applyAlignment="1">
      <alignment horizontal="center" vertical="center"/>
    </xf>
    <xf numFmtId="178" fontId="21" fillId="2" borderId="1" xfId="1" applyNumberFormat="1" applyFont="1" applyFill="1" applyBorder="1" applyAlignment="1">
      <alignment horizontal="center" vertical="center"/>
    </xf>
    <xf numFmtId="9" fontId="21" fillId="0" borderId="1" xfId="2" applyFont="1" applyBorder="1" applyAlignment="1">
      <alignment horizontal="center" vertical="center"/>
    </xf>
    <xf numFmtId="9" fontId="21" fillId="2" borderId="1" xfId="2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41" fontId="21" fillId="4" borderId="1" xfId="1" applyFont="1" applyFill="1" applyBorder="1">
      <alignment vertical="center"/>
    </xf>
    <xf numFmtId="0" fontId="22" fillId="6" borderId="1" xfId="0" applyFont="1" applyFill="1" applyBorder="1" applyAlignment="1">
      <alignment horizontal="center" vertical="center"/>
    </xf>
    <xf numFmtId="178" fontId="23" fillId="6" borderId="1" xfId="1" applyNumberFormat="1" applyFont="1" applyFill="1" applyBorder="1" applyAlignment="1">
      <alignment horizontal="center" vertical="center"/>
    </xf>
    <xf numFmtId="9" fontId="23" fillId="6" borderId="1" xfId="2" applyFont="1" applyFill="1" applyBorder="1" applyAlignment="1">
      <alignment horizontal="center" vertical="center"/>
    </xf>
    <xf numFmtId="9" fontId="21" fillId="0" borderId="1" xfId="1" applyNumberFormat="1" applyFont="1" applyBorder="1" applyAlignment="1">
      <alignment horizontal="center" vertical="center"/>
    </xf>
    <xf numFmtId="9" fontId="21" fillId="2" borderId="1" xfId="1" applyNumberFormat="1" applyFont="1" applyFill="1" applyBorder="1" applyAlignment="1">
      <alignment horizontal="center" vertical="center"/>
    </xf>
    <xf numFmtId="9" fontId="23" fillId="6" borderId="1" xfId="1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5" xfId="0" applyBorder="1">
      <alignment vertical="center"/>
    </xf>
    <xf numFmtId="0" fontId="4" fillId="0" borderId="5" xfId="0" applyFont="1" applyBorder="1">
      <alignment vertical="center"/>
    </xf>
    <xf numFmtId="0" fontId="0" fillId="7" borderId="1" xfId="0" applyFill="1" applyBorder="1">
      <alignment vertical="center"/>
    </xf>
    <xf numFmtId="0" fontId="11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1" fontId="0" fillId="8" borderId="1" xfId="0" applyNumberFormat="1" applyFill="1" applyBorder="1">
      <alignment vertical="center"/>
    </xf>
    <xf numFmtId="0" fontId="24" fillId="10" borderId="7" xfId="0" applyFont="1" applyFill="1" applyBorder="1">
      <alignment vertical="center"/>
    </xf>
    <xf numFmtId="0" fontId="24" fillId="10" borderId="9" xfId="0" applyFont="1" applyFill="1" applyBorder="1">
      <alignment vertical="center"/>
    </xf>
    <xf numFmtId="0" fontId="24" fillId="0" borderId="6" xfId="0" applyFont="1" applyBorder="1">
      <alignment vertical="center"/>
    </xf>
    <xf numFmtId="0" fontId="24" fillId="0" borderId="8" xfId="0" applyFont="1" applyBorder="1">
      <alignment vertical="center"/>
    </xf>
    <xf numFmtId="0" fontId="27" fillId="0" borderId="1" xfId="0" applyFont="1" applyBorder="1">
      <alignment vertical="center"/>
    </xf>
    <xf numFmtId="0" fontId="29" fillId="0" borderId="1" xfId="0" applyFont="1" applyBorder="1">
      <alignment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4" fillId="10" borderId="8" xfId="0" applyFont="1" applyFill="1" applyBorder="1" applyAlignment="1">
      <alignment horizontal="left" vertical="center"/>
    </xf>
    <xf numFmtId="41" fontId="0" fillId="7" borderId="1" xfId="0" applyNumberFormat="1" applyFill="1" applyBorder="1" applyAlignment="1">
      <alignment horizontal="left" vertical="center"/>
    </xf>
    <xf numFmtId="179" fontId="24" fillId="10" borderId="7" xfId="6" applyNumberFormat="1" applyFont="1" applyFill="1" applyBorder="1">
      <alignment vertical="center"/>
    </xf>
    <xf numFmtId="179" fontId="0" fillId="0" borderId="0" xfId="6" applyNumberFormat="1" applyFont="1">
      <alignment vertical="center"/>
    </xf>
    <xf numFmtId="179" fontId="15" fillId="0" borderId="1" xfId="6" applyNumberFormat="1" applyFont="1" applyBorder="1" applyAlignment="1">
      <alignment horizontal="center" vertical="center"/>
    </xf>
    <xf numFmtId="179" fontId="14" fillId="0" borderId="1" xfId="6" applyNumberFormat="1" applyFont="1" applyBorder="1" applyAlignment="1">
      <alignment horizontal="center" vertical="center"/>
    </xf>
    <xf numFmtId="41" fontId="0" fillId="7" borderId="8" xfId="0" applyNumberForma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left" vertical="center"/>
    </xf>
    <xf numFmtId="0" fontId="0" fillId="7" borderId="9" xfId="0" applyFill="1" applyBorder="1">
      <alignment vertical="center"/>
    </xf>
    <xf numFmtId="0" fontId="24" fillId="10" borderId="1" xfId="0" applyFont="1" applyFill="1" applyBorder="1">
      <alignment vertical="center"/>
    </xf>
    <xf numFmtId="0" fontId="0" fillId="0" borderId="8" xfId="0" applyBorder="1">
      <alignment vertical="center"/>
    </xf>
    <xf numFmtId="0" fontId="24" fillId="0" borderId="1" xfId="0" applyFont="1" applyBorder="1">
      <alignment vertical="center"/>
    </xf>
    <xf numFmtId="41" fontId="19" fillId="4" borderId="10" xfId="1" applyFont="1" applyFill="1" applyBorder="1" applyAlignment="1">
      <alignment horizontal="center" vertical="center"/>
    </xf>
    <xf numFmtId="41" fontId="19" fillId="4" borderId="11" xfId="1" applyFont="1" applyFill="1" applyBorder="1" applyAlignment="1">
      <alignment horizontal="center" vertical="center"/>
    </xf>
    <xf numFmtId="41" fontId="19" fillId="3" borderId="12" xfId="1" applyFont="1" applyFill="1" applyBorder="1" applyAlignment="1">
      <alignment horizontal="center" vertical="center"/>
    </xf>
    <xf numFmtId="41" fontId="19" fillId="4" borderId="12" xfId="1" applyFont="1" applyFill="1" applyBorder="1" applyAlignment="1">
      <alignment horizontal="left" vertical="center"/>
    </xf>
    <xf numFmtId="0" fontId="19" fillId="4" borderId="12" xfId="1" applyNumberFormat="1" applyFont="1" applyFill="1" applyBorder="1" applyAlignment="1">
      <alignment vertical="center"/>
    </xf>
    <xf numFmtId="41" fontId="19" fillId="4" borderId="13" xfId="1" applyFont="1" applyFill="1" applyBorder="1" applyAlignment="1">
      <alignment horizontal="center" vertical="center"/>
    </xf>
    <xf numFmtId="179" fontId="30" fillId="12" borderId="11" xfId="1" applyNumberFormat="1" applyFont="1" applyFill="1" applyBorder="1" applyAlignment="1">
      <alignment horizontal="center" vertical="center"/>
    </xf>
    <xf numFmtId="179" fontId="31" fillId="0" borderId="1" xfId="6" applyNumberFormat="1" applyFont="1" applyBorder="1" applyAlignment="1">
      <alignment horizontal="center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6" borderId="14" xfId="0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1" fontId="34" fillId="0" borderId="14" xfId="0" applyNumberFormat="1" applyFont="1" applyBorder="1">
      <alignment vertical="center"/>
    </xf>
    <xf numFmtId="0" fontId="34" fillId="0" borderId="14" xfId="0" applyFont="1" applyBorder="1">
      <alignment vertical="center"/>
    </xf>
    <xf numFmtId="1" fontId="34" fillId="0" borderId="14" xfId="0" applyNumberFormat="1" applyFont="1" applyBorder="1" applyAlignment="1">
      <alignment horizontal="center" vertical="center"/>
    </xf>
    <xf numFmtId="9" fontId="34" fillId="0" borderId="14" xfId="0" applyNumberFormat="1" applyFont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1" fontId="34" fillId="2" borderId="14" xfId="0" applyNumberFormat="1" applyFont="1" applyFill="1" applyBorder="1">
      <alignment vertical="center"/>
    </xf>
    <xf numFmtId="0" fontId="34" fillId="2" borderId="14" xfId="0" applyFont="1" applyFill="1" applyBorder="1">
      <alignment vertical="center"/>
    </xf>
    <xf numFmtId="1" fontId="34" fillId="2" borderId="14" xfId="0" applyNumberFormat="1" applyFont="1" applyFill="1" applyBorder="1" applyAlignment="1">
      <alignment horizontal="center" vertical="center"/>
    </xf>
    <xf numFmtId="9" fontId="34" fillId="2" borderId="14" xfId="0" applyNumberFormat="1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9" fontId="32" fillId="6" borderId="14" xfId="0" applyNumberFormat="1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/>
    </xf>
    <xf numFmtId="0" fontId="25" fillId="13" borderId="15" xfId="0" applyFont="1" applyFill="1" applyBorder="1" applyAlignment="1">
      <alignment horizontal="left" vertical="center" wrapText="1" readingOrder="1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41" fontId="0" fillId="8" borderId="1" xfId="1" applyFont="1" applyFill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9" fontId="0" fillId="8" borderId="0" xfId="6" applyNumberFormat="1" applyFont="1" applyFill="1">
      <alignment vertical="center"/>
    </xf>
    <xf numFmtId="0" fontId="0" fillId="0" borderId="1" xfId="0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41" fontId="37" fillId="11" borderId="6" xfId="0" applyNumberFormat="1" applyFont="1" applyFill="1" applyBorder="1">
      <alignment vertical="center"/>
    </xf>
    <xf numFmtId="41" fontId="37" fillId="11" borderId="7" xfId="0" applyNumberFormat="1" applyFont="1" applyFill="1" applyBorder="1">
      <alignment vertical="center"/>
    </xf>
    <xf numFmtId="41" fontId="0" fillId="9" borderId="1" xfId="1" applyNumberFormat="1" applyFont="1" applyFill="1" applyBorder="1" applyAlignment="1">
      <alignment horizontal="center" vertical="center"/>
    </xf>
    <xf numFmtId="41" fontId="37" fillId="11" borderId="8" xfId="0" applyNumberFormat="1" applyFont="1" applyFill="1" applyBorder="1">
      <alignment vertical="center"/>
    </xf>
    <xf numFmtId="41" fontId="37" fillId="11" borderId="9" xfId="0" applyNumberFormat="1" applyFont="1" applyFill="1" applyBorder="1">
      <alignment vertical="center"/>
    </xf>
    <xf numFmtId="41" fontId="37" fillId="14" borderId="7" xfId="0" applyNumberFormat="1" applyFont="1" applyFill="1" applyBorder="1">
      <alignment vertical="center"/>
    </xf>
    <xf numFmtId="3" fontId="37" fillId="10" borderId="6" xfId="0" applyNumberFormat="1" applyFont="1" applyFill="1" applyBorder="1">
      <alignment vertical="center"/>
    </xf>
    <xf numFmtId="3" fontId="37" fillId="10" borderId="7" xfId="0" applyNumberFormat="1" applyFont="1" applyFill="1" applyBorder="1">
      <alignment vertical="center"/>
    </xf>
    <xf numFmtId="3" fontId="37" fillId="10" borderId="8" xfId="0" applyNumberFormat="1" applyFont="1" applyFill="1" applyBorder="1">
      <alignment vertical="center"/>
    </xf>
    <xf numFmtId="3" fontId="37" fillId="10" borderId="9" xfId="0" applyNumberFormat="1" applyFont="1" applyFill="1" applyBorder="1">
      <alignment vertical="center"/>
    </xf>
    <xf numFmtId="0" fontId="20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1" fontId="0" fillId="8" borderId="2" xfId="1" applyFont="1" applyFill="1" applyBorder="1" applyAlignment="1">
      <alignment horizontal="center" vertical="center"/>
    </xf>
    <xf numFmtId="41" fontId="0" fillId="8" borderId="3" xfId="1" applyFont="1" applyFill="1" applyBorder="1" applyAlignment="1">
      <alignment horizontal="center" vertical="center"/>
    </xf>
    <xf numFmtId="41" fontId="0" fillId="8" borderId="2" xfId="0" applyNumberFormat="1" applyFill="1" applyBorder="1" applyAlignment="1">
      <alignment horizontal="center" vertical="center"/>
    </xf>
    <xf numFmtId="41" fontId="0" fillId="8" borderId="3" xfId="0" applyNumberForma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1" fontId="0" fillId="8" borderId="1" xfId="1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/>
    </xf>
  </cellXfs>
  <cellStyles count="7">
    <cellStyle name="백분율" xfId="2" builtinId="5"/>
    <cellStyle name="常规 3" xfId="3" xr:uid="{428F9113-8EBC-4F54-9F53-031C7EDF6A81}"/>
    <cellStyle name="쉼표" xfId="6" builtinId="3"/>
    <cellStyle name="쉼표 [0]" xfId="1" builtinId="6"/>
    <cellStyle name="千位分隔[0] 3" xfId="5" xr:uid="{CF18FADB-14C3-4501-8602-C3D7D8C5F142}"/>
    <cellStyle name="千位分隔[0] 5 2" xfId="4" xr:uid="{46653CAE-9729-427B-AC16-BDE8385B60F2}"/>
    <cellStyle name="표준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CC"/>
      <color rgb="FF223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视图1" id="{B4E7ADB6-AF08-4F82-99FC-99667F7B3266}"/>
</namedSheetView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58B1-525E-46C8-8D45-9E7FC5A9A719}">
  <sheetPr>
    <tabColor rgb="FFFFFF00"/>
  </sheetPr>
  <dimension ref="A1:V36"/>
  <sheetViews>
    <sheetView workbookViewId="0">
      <selection activeCell="H40" sqref="H40"/>
    </sheetView>
  </sheetViews>
  <sheetFormatPr defaultRowHeight="16.5"/>
  <cols>
    <col min="1" max="1" width="10.25" customWidth="1"/>
    <col min="2" max="2" width="21.5" customWidth="1"/>
    <col min="3" max="4" width="8.5" style="1" customWidth="1"/>
    <col min="5" max="5" width="10.375" style="1" bestFit="1" customWidth="1"/>
    <col min="6" max="18" width="8.5" style="1" customWidth="1"/>
    <col min="19" max="19" width="10.875" bestFit="1" customWidth="1"/>
    <col min="21" max="22" width="15.875" customWidth="1"/>
  </cols>
  <sheetData>
    <row r="1" spans="1:22">
      <c r="A1" s="14" t="s">
        <v>0</v>
      </c>
      <c r="S1" s="1"/>
    </row>
    <row r="2" spans="1:22" ht="18">
      <c r="A2" s="112" t="s">
        <v>1</v>
      </c>
      <c r="B2" s="112"/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5" t="s">
        <v>14</v>
      </c>
      <c r="P2" s="5" t="s">
        <v>15</v>
      </c>
      <c r="Q2" s="5" t="s">
        <v>16</v>
      </c>
      <c r="R2" s="6" t="s">
        <v>17</v>
      </c>
      <c r="S2" s="7" t="s">
        <v>18</v>
      </c>
      <c r="U2" t="s">
        <v>19</v>
      </c>
      <c r="V2" t="s">
        <v>20</v>
      </c>
    </row>
    <row r="3" spans="1:22" ht="18">
      <c r="A3" s="113" t="s">
        <v>18</v>
      </c>
      <c r="B3" s="3" t="s">
        <v>21</v>
      </c>
      <c r="C3" s="94">
        <f t="shared" ref="C3:S5" si="0">C8+C13</f>
        <v>103034.0913</v>
      </c>
      <c r="D3" s="94">
        <f t="shared" si="0"/>
        <v>67773.028200000001</v>
      </c>
      <c r="E3" s="94">
        <f t="shared" si="0"/>
        <v>82658.177499999991</v>
      </c>
      <c r="F3" s="94">
        <f t="shared" si="0"/>
        <v>253465.29699999999</v>
      </c>
      <c r="G3" s="94">
        <f t="shared" si="0"/>
        <v>73487.724100000007</v>
      </c>
      <c r="H3" s="94">
        <f t="shared" si="0"/>
        <v>79158.287199999992</v>
      </c>
      <c r="I3" s="94">
        <f t="shared" si="0"/>
        <v>69307.020199999999</v>
      </c>
      <c r="J3" s="94">
        <f t="shared" si="0"/>
        <v>221953.03150000001</v>
      </c>
      <c r="K3" s="94">
        <f t="shared" si="0"/>
        <v>73073.048299999995</v>
      </c>
      <c r="L3" s="94">
        <f t="shared" si="0"/>
        <v>87766.221399999995</v>
      </c>
      <c r="M3" s="94">
        <f t="shared" si="0"/>
        <v>89453.018400000001</v>
      </c>
      <c r="N3" s="94">
        <f t="shared" si="0"/>
        <v>250292.28810000001</v>
      </c>
      <c r="O3" s="94">
        <f t="shared" si="0"/>
        <v>114337.129</v>
      </c>
      <c r="P3" s="94">
        <f t="shared" si="0"/>
        <v>81080.100000000006</v>
      </c>
      <c r="Q3" s="94">
        <f t="shared" si="0"/>
        <v>77433.171999999991</v>
      </c>
      <c r="R3" s="94">
        <f t="shared" si="0"/>
        <v>272850.40100000001</v>
      </c>
      <c r="S3" s="94">
        <f t="shared" si="0"/>
        <v>998561.01760000014</v>
      </c>
      <c r="U3" s="92">
        <f>F24</f>
        <v>270.68813</v>
      </c>
      <c r="V3" s="92">
        <f>F29</f>
        <v>197.93928999999997</v>
      </c>
    </row>
    <row r="4" spans="1:22">
      <c r="A4" s="113"/>
      <c r="B4" s="3" t="s">
        <v>22</v>
      </c>
      <c r="C4" s="94">
        <f>C9+C14</f>
        <v>111900</v>
      </c>
      <c r="D4" s="94">
        <f t="shared" si="0"/>
        <v>76600</v>
      </c>
      <c r="E4" s="94">
        <f t="shared" si="0"/>
        <v>103000</v>
      </c>
      <c r="F4" s="94">
        <f t="shared" si="0"/>
        <v>291500</v>
      </c>
      <c r="G4" s="94">
        <f t="shared" si="0"/>
        <v>107000</v>
      </c>
      <c r="H4" s="94">
        <f t="shared" si="0"/>
        <v>115000</v>
      </c>
      <c r="I4" s="94">
        <f t="shared" si="0"/>
        <v>107000</v>
      </c>
      <c r="J4" s="94">
        <f t="shared" si="0"/>
        <v>329000</v>
      </c>
      <c r="K4" s="94">
        <f t="shared" si="0"/>
        <v>106000</v>
      </c>
      <c r="L4" s="94">
        <f t="shared" si="0"/>
        <v>119000</v>
      </c>
      <c r="M4" s="94">
        <f t="shared" si="0"/>
        <v>126000</v>
      </c>
      <c r="N4" s="94">
        <f t="shared" si="0"/>
        <v>351000</v>
      </c>
      <c r="O4" s="94">
        <f t="shared" si="0"/>
        <v>140500</v>
      </c>
      <c r="P4" s="94">
        <f t="shared" si="0"/>
        <v>123600</v>
      </c>
      <c r="Q4" s="94">
        <f t="shared" si="0"/>
        <v>114400</v>
      </c>
      <c r="R4" s="94">
        <f t="shared" si="0"/>
        <v>378500</v>
      </c>
      <c r="S4" s="94">
        <f t="shared" si="0"/>
        <v>1350000</v>
      </c>
      <c r="U4" s="93">
        <f>F26</f>
        <v>6.7949471599656475E-2</v>
      </c>
      <c r="V4" s="93">
        <f>F31</f>
        <v>0.10174425744108784</v>
      </c>
    </row>
    <row r="5" spans="1:22">
      <c r="A5" s="113"/>
      <c r="B5" s="4" t="s">
        <v>23</v>
      </c>
      <c r="C5" s="94">
        <f t="shared" si="0"/>
        <v>112618.15</v>
      </c>
      <c r="D5" s="94">
        <f t="shared" si="0"/>
        <v>76846.399999999994</v>
      </c>
      <c r="E5" s="94">
        <f t="shared" si="0"/>
        <v>81223.58</v>
      </c>
      <c r="F5" s="94">
        <f>F10+F15</f>
        <v>270688.13</v>
      </c>
      <c r="G5" s="94">
        <f t="shared" si="0"/>
        <v>96739</v>
      </c>
      <c r="H5" s="94">
        <f t="shared" si="0"/>
        <v>102887</v>
      </c>
      <c r="I5" s="94">
        <f t="shared" si="0"/>
        <v>93830</v>
      </c>
      <c r="J5" s="94">
        <f t="shared" si="0"/>
        <v>293456</v>
      </c>
      <c r="K5" s="94">
        <f t="shared" si="0"/>
        <v>0</v>
      </c>
      <c r="L5" s="94">
        <f t="shared" si="0"/>
        <v>0</v>
      </c>
      <c r="M5" s="94">
        <f t="shared" si="0"/>
        <v>0</v>
      </c>
      <c r="N5" s="94">
        <f t="shared" si="0"/>
        <v>0</v>
      </c>
      <c r="O5" s="94">
        <f t="shared" si="0"/>
        <v>0</v>
      </c>
      <c r="P5" s="94">
        <f t="shared" si="0"/>
        <v>0</v>
      </c>
      <c r="Q5" s="94">
        <f t="shared" si="0"/>
        <v>0</v>
      </c>
      <c r="R5" s="94">
        <f t="shared" si="0"/>
        <v>0</v>
      </c>
      <c r="S5" s="94">
        <f t="shared" si="0"/>
        <v>564144.13</v>
      </c>
    </row>
    <row r="6" spans="1:22">
      <c r="A6" s="113"/>
      <c r="B6" s="45" t="s">
        <v>24</v>
      </c>
      <c r="C6" s="95">
        <f>C5/C4</f>
        <v>1.006417783735478</v>
      </c>
      <c r="D6" s="95">
        <f>D5/D4</f>
        <v>1.0032167101827676</v>
      </c>
      <c r="E6" s="95">
        <f t="shared" ref="E6:S6" si="1">E5/E4</f>
        <v>0.78857844660194176</v>
      </c>
      <c r="F6" s="95">
        <f t="shared" si="1"/>
        <v>0.92860421955403094</v>
      </c>
      <c r="G6" s="95">
        <f t="shared" si="1"/>
        <v>0.90410280373831775</v>
      </c>
      <c r="H6" s="95">
        <f t="shared" si="1"/>
        <v>0.89466956521739127</v>
      </c>
      <c r="I6" s="95">
        <f t="shared" si="1"/>
        <v>0.87691588785046726</v>
      </c>
      <c r="J6" s="95">
        <f t="shared" si="1"/>
        <v>0.89196352583586624</v>
      </c>
      <c r="K6" s="95">
        <f t="shared" si="1"/>
        <v>0</v>
      </c>
      <c r="L6" s="95">
        <f t="shared" si="1"/>
        <v>0</v>
      </c>
      <c r="M6" s="95">
        <f t="shared" si="1"/>
        <v>0</v>
      </c>
      <c r="N6" s="95">
        <f t="shared" si="1"/>
        <v>0</v>
      </c>
      <c r="O6" s="95">
        <f t="shared" si="1"/>
        <v>0</v>
      </c>
      <c r="P6" s="95">
        <f t="shared" si="1"/>
        <v>0</v>
      </c>
      <c r="Q6" s="95">
        <f t="shared" si="1"/>
        <v>0</v>
      </c>
      <c r="R6" s="95">
        <f t="shared" si="1"/>
        <v>0</v>
      </c>
      <c r="S6" s="95">
        <f t="shared" si="1"/>
        <v>0.41788454074074072</v>
      </c>
    </row>
    <row r="7" spans="1:22">
      <c r="A7" s="113"/>
      <c r="B7" s="44" t="s">
        <v>25</v>
      </c>
      <c r="C7" s="95">
        <f>C5/C3-1</f>
        <v>9.3018326061560463E-2</v>
      </c>
      <c r="D7" s="95">
        <f t="shared" ref="D7:S7" si="2">D5/D3-1</f>
        <v>0.13387880165578903</v>
      </c>
      <c r="E7" s="95">
        <f t="shared" si="2"/>
        <v>-1.7355784308213051E-2</v>
      </c>
      <c r="F7" s="95">
        <f t="shared" si="2"/>
        <v>6.7949471599656475E-2</v>
      </c>
      <c r="G7" s="95">
        <f t="shared" si="2"/>
        <v>0.31639673407711366</v>
      </c>
      <c r="H7" s="95">
        <f t="shared" si="2"/>
        <v>0.29976283771839896</v>
      </c>
      <c r="I7" s="95">
        <f t="shared" si="2"/>
        <v>0.3538311087280015</v>
      </c>
      <c r="J7" s="95">
        <f t="shared" si="2"/>
        <v>0.32215360167315388</v>
      </c>
      <c r="K7" s="95">
        <f t="shared" si="2"/>
        <v>-1</v>
      </c>
      <c r="L7" s="95">
        <f t="shared" si="2"/>
        <v>-1</v>
      </c>
      <c r="M7" s="95">
        <f t="shared" si="2"/>
        <v>-1</v>
      </c>
      <c r="N7" s="95">
        <f t="shared" si="2"/>
        <v>-1</v>
      </c>
      <c r="O7" s="95">
        <f t="shared" si="2"/>
        <v>-1</v>
      </c>
      <c r="P7" s="95">
        <f t="shared" si="2"/>
        <v>-1</v>
      </c>
      <c r="Q7" s="95">
        <f t="shared" si="2"/>
        <v>-1</v>
      </c>
      <c r="R7" s="95">
        <f t="shared" si="2"/>
        <v>-1</v>
      </c>
      <c r="S7" s="95">
        <f t="shared" si="2"/>
        <v>-0.43504290668596601</v>
      </c>
    </row>
    <row r="8" spans="1:22" ht="18">
      <c r="A8" s="113" t="s">
        <v>26</v>
      </c>
      <c r="B8" s="3" t="s">
        <v>21</v>
      </c>
      <c r="C8" s="101">
        <v>73498.602199999994</v>
      </c>
      <c r="D8" s="101">
        <v>48798.087899999999</v>
      </c>
      <c r="E8" s="102">
        <v>57363.234299999996</v>
      </c>
      <c r="F8" s="103">
        <f>SUM(C8:E8)</f>
        <v>179659.92439999999</v>
      </c>
      <c r="G8" s="101">
        <v>52163.060100000002</v>
      </c>
      <c r="H8" s="102">
        <v>49202.178399999997</v>
      </c>
      <c r="I8" s="102">
        <v>39359.555699999997</v>
      </c>
      <c r="J8" s="103">
        <f>SUM(G8:I8)</f>
        <v>140724.7942</v>
      </c>
      <c r="K8" s="101">
        <v>45616.637999999999</v>
      </c>
      <c r="L8" s="102">
        <v>49067.628299999997</v>
      </c>
      <c r="M8" s="102">
        <v>44577.117599999998</v>
      </c>
      <c r="N8" s="103">
        <f>SUM(K8:M8)</f>
        <v>139261.38389999999</v>
      </c>
      <c r="O8" s="101">
        <v>55235.586300000003</v>
      </c>
      <c r="P8" s="102">
        <v>48881.842799999999</v>
      </c>
      <c r="Q8" s="102">
        <v>54632.027699999999</v>
      </c>
      <c r="R8" s="103">
        <f>SUM(O8:Q8)</f>
        <v>158749.45680000001</v>
      </c>
      <c r="S8" s="103">
        <f>F8+J8+N8+R8</f>
        <v>618395.55930000008</v>
      </c>
    </row>
    <row r="9" spans="1:22">
      <c r="A9" s="113"/>
      <c r="B9" s="3" t="s">
        <v>22</v>
      </c>
      <c r="C9" s="104">
        <v>82000</v>
      </c>
      <c r="D9" s="104">
        <v>53000</v>
      </c>
      <c r="E9" s="105">
        <v>73000</v>
      </c>
      <c r="F9" s="103">
        <f>SUM(C9:E9)</f>
        <v>208000</v>
      </c>
      <c r="G9" s="104">
        <v>74000</v>
      </c>
      <c r="H9" s="105">
        <v>79000</v>
      </c>
      <c r="I9" s="105">
        <v>77000</v>
      </c>
      <c r="J9" s="103">
        <f>SUM(G9:I9)</f>
        <v>230000</v>
      </c>
      <c r="K9" s="104">
        <v>70000</v>
      </c>
      <c r="L9" s="105">
        <v>73000</v>
      </c>
      <c r="M9" s="105">
        <v>78000</v>
      </c>
      <c r="N9" s="103">
        <f>SUM(K9:M9)</f>
        <v>221000</v>
      </c>
      <c r="O9" s="104">
        <v>83000</v>
      </c>
      <c r="P9" s="105">
        <v>82000</v>
      </c>
      <c r="Q9" s="105">
        <v>76000</v>
      </c>
      <c r="R9" s="103">
        <f>SUM(O9:Q9)</f>
        <v>241000</v>
      </c>
      <c r="S9" s="103">
        <f>F9+J9+N9+R9</f>
        <v>900000</v>
      </c>
    </row>
    <row r="10" spans="1:22">
      <c r="A10" s="113"/>
      <c r="B10" s="4" t="s">
        <v>23</v>
      </c>
      <c r="C10" s="101">
        <v>82025.7</v>
      </c>
      <c r="D10" s="102">
        <v>52892.01</v>
      </c>
      <c r="E10" s="106">
        <v>63021.58</v>
      </c>
      <c r="F10" s="103">
        <f>SUM(C10:E10)</f>
        <v>197939.28999999998</v>
      </c>
      <c r="G10" s="106">
        <v>69189</v>
      </c>
      <c r="H10" s="106">
        <v>71487</v>
      </c>
      <c r="I10" s="106">
        <v>63830</v>
      </c>
      <c r="J10" s="103">
        <f>SUM(G10:I10)</f>
        <v>204506</v>
      </c>
      <c r="K10" s="103"/>
      <c r="L10" s="103"/>
      <c r="M10" s="103"/>
      <c r="N10" s="103">
        <f>SUM(K10:M10)</f>
        <v>0</v>
      </c>
      <c r="O10" s="103"/>
      <c r="P10" s="103"/>
      <c r="Q10" s="103"/>
      <c r="R10" s="103">
        <f>SUM(O10:Q10)</f>
        <v>0</v>
      </c>
      <c r="S10" s="103">
        <f>F10+J10+N10+R10</f>
        <v>402445.29</v>
      </c>
    </row>
    <row r="11" spans="1:22">
      <c r="A11" s="113"/>
      <c r="B11" s="45" t="s">
        <v>24</v>
      </c>
      <c r="C11" s="95">
        <f>C10/C9</f>
        <v>1.0003134146341464</v>
      </c>
      <c r="D11" s="95">
        <f>D10/D9</f>
        <v>0.9979624528301887</v>
      </c>
      <c r="E11" s="95">
        <f>E10/E9</f>
        <v>0.86330931506849318</v>
      </c>
      <c r="F11" s="95">
        <f t="shared" ref="F11:S11" si="3">F10/F9</f>
        <v>0.95163120192307682</v>
      </c>
      <c r="G11" s="95">
        <f t="shared" si="3"/>
        <v>0.93498648648648652</v>
      </c>
      <c r="H11" s="95">
        <f t="shared" si="3"/>
        <v>0.90489873417721522</v>
      </c>
      <c r="I11" s="95">
        <f t="shared" si="3"/>
        <v>0.82896103896103901</v>
      </c>
      <c r="J11" s="95">
        <f t="shared" si="3"/>
        <v>0.8891565217391304</v>
      </c>
      <c r="K11" s="95">
        <f t="shared" si="3"/>
        <v>0</v>
      </c>
      <c r="L11" s="95">
        <f t="shared" si="3"/>
        <v>0</v>
      </c>
      <c r="M11" s="95">
        <f t="shared" si="3"/>
        <v>0</v>
      </c>
      <c r="N11" s="95">
        <f t="shared" si="3"/>
        <v>0</v>
      </c>
      <c r="O11" s="95">
        <f t="shared" si="3"/>
        <v>0</v>
      </c>
      <c r="P11" s="95">
        <f t="shared" si="3"/>
        <v>0</v>
      </c>
      <c r="Q11" s="95">
        <f t="shared" si="3"/>
        <v>0</v>
      </c>
      <c r="R11" s="95">
        <f t="shared" si="3"/>
        <v>0</v>
      </c>
      <c r="S11" s="95">
        <f t="shared" si="3"/>
        <v>0.4471614333333333</v>
      </c>
    </row>
    <row r="12" spans="1:22">
      <c r="A12" s="113"/>
      <c r="B12" s="44" t="s">
        <v>25</v>
      </c>
      <c r="C12" s="95">
        <f>C10/C8-1</f>
        <v>0.1160171424321319</v>
      </c>
      <c r="D12" s="95">
        <f t="shared" ref="D12:S12" si="4">D10/D8-1</f>
        <v>8.389513352222977E-2</v>
      </c>
      <c r="E12" s="95">
        <f t="shared" si="4"/>
        <v>9.8640632262954719E-2</v>
      </c>
      <c r="F12" s="95">
        <f t="shared" si="4"/>
        <v>0.10174425744108784</v>
      </c>
      <c r="G12" s="95">
        <f t="shared" si="4"/>
        <v>0.32639841043374673</v>
      </c>
      <c r="H12" s="95">
        <f t="shared" si="4"/>
        <v>0.45292347462404225</v>
      </c>
      <c r="I12" s="95">
        <f t="shared" si="4"/>
        <v>0.62171546057365701</v>
      </c>
      <c r="J12" s="95">
        <f t="shared" si="4"/>
        <v>0.4532336050842134</v>
      </c>
      <c r="K12" s="95">
        <f t="shared" si="4"/>
        <v>-1</v>
      </c>
      <c r="L12" s="95">
        <f t="shared" si="4"/>
        <v>-1</v>
      </c>
      <c r="M12" s="95">
        <f t="shared" si="4"/>
        <v>-1</v>
      </c>
      <c r="N12" s="95">
        <f t="shared" si="4"/>
        <v>-1</v>
      </c>
      <c r="O12" s="95">
        <f t="shared" si="4"/>
        <v>-1</v>
      </c>
      <c r="P12" s="95">
        <f t="shared" si="4"/>
        <v>-1</v>
      </c>
      <c r="Q12" s="95">
        <f t="shared" si="4"/>
        <v>-1</v>
      </c>
      <c r="R12" s="95">
        <f t="shared" si="4"/>
        <v>-1</v>
      </c>
      <c r="S12" s="95">
        <f t="shared" si="4"/>
        <v>-0.34921057574289094</v>
      </c>
    </row>
    <row r="13" spans="1:22" ht="18">
      <c r="A13" s="113" t="s">
        <v>27</v>
      </c>
      <c r="B13" s="3" t="s">
        <v>21</v>
      </c>
      <c r="C13" s="101">
        <v>29535.489099999999</v>
      </c>
      <c r="D13" s="102">
        <v>18974.940299999998</v>
      </c>
      <c r="E13" s="102">
        <v>25294.943200000002</v>
      </c>
      <c r="F13" s="103">
        <f>SUM(C13:E13)</f>
        <v>73805.372600000002</v>
      </c>
      <c r="G13" s="101">
        <v>21324.664000000001</v>
      </c>
      <c r="H13" s="102">
        <v>29956.108800000002</v>
      </c>
      <c r="I13" s="102">
        <v>29947.464499999998</v>
      </c>
      <c r="J13" s="103">
        <f>SUM(G13:I13)</f>
        <v>81228.237300000008</v>
      </c>
      <c r="K13" s="101">
        <v>27456.4103</v>
      </c>
      <c r="L13" s="102">
        <v>38698.593099999998</v>
      </c>
      <c r="M13" s="102">
        <v>44875.900800000003</v>
      </c>
      <c r="N13" s="103">
        <f>SUM(K13:M13)</f>
        <v>111030.9042</v>
      </c>
      <c r="O13" s="101">
        <v>59101.542699999998</v>
      </c>
      <c r="P13" s="102">
        <v>32198.2572</v>
      </c>
      <c r="Q13" s="102">
        <v>22801.1443</v>
      </c>
      <c r="R13" s="103">
        <f>SUM(O13:Q13)</f>
        <v>114100.9442</v>
      </c>
      <c r="S13" s="103">
        <f>F13+J13+N13+R13</f>
        <v>380165.45830000006</v>
      </c>
    </row>
    <row r="14" spans="1:22">
      <c r="A14" s="113"/>
      <c r="B14" s="3" t="s">
        <v>22</v>
      </c>
      <c r="C14" s="104">
        <v>29900</v>
      </c>
      <c r="D14" s="105">
        <v>23600</v>
      </c>
      <c r="E14" s="105">
        <v>30000</v>
      </c>
      <c r="F14" s="103">
        <f>SUM(C14:E14)</f>
        <v>83500</v>
      </c>
      <c r="G14" s="104">
        <v>33000</v>
      </c>
      <c r="H14" s="105">
        <v>36000</v>
      </c>
      <c r="I14" s="105">
        <v>30000</v>
      </c>
      <c r="J14" s="103">
        <f>SUM(G14:I14)</f>
        <v>99000</v>
      </c>
      <c r="K14" s="104">
        <v>36000</v>
      </c>
      <c r="L14" s="105">
        <v>46000</v>
      </c>
      <c r="M14" s="105">
        <v>48000</v>
      </c>
      <c r="N14" s="103">
        <f>SUM(K14:M14)</f>
        <v>130000</v>
      </c>
      <c r="O14" s="104">
        <v>57500</v>
      </c>
      <c r="P14" s="105">
        <v>41600</v>
      </c>
      <c r="Q14" s="105">
        <v>38400</v>
      </c>
      <c r="R14" s="103">
        <f>SUM(O14:Q14)</f>
        <v>137500</v>
      </c>
      <c r="S14" s="103">
        <f>F14+J14+N14+R14</f>
        <v>450000</v>
      </c>
    </row>
    <row r="15" spans="1:22">
      <c r="A15" s="113"/>
      <c r="B15" s="4" t="s">
        <v>23</v>
      </c>
      <c r="C15" s="101">
        <v>30592.45</v>
      </c>
      <c r="D15" s="102">
        <v>23954.39</v>
      </c>
      <c r="E15" s="106">
        <v>18202</v>
      </c>
      <c r="F15" s="103">
        <f>SUM(C15:E15)</f>
        <v>72748.84</v>
      </c>
      <c r="G15" s="106">
        <v>27550</v>
      </c>
      <c r="H15" s="106">
        <v>31400</v>
      </c>
      <c r="I15" s="106">
        <v>30000</v>
      </c>
      <c r="J15" s="103">
        <f>SUM(G15:I15)</f>
        <v>88950</v>
      </c>
      <c r="K15" s="103"/>
      <c r="L15" s="103"/>
      <c r="M15" s="103"/>
      <c r="N15" s="103">
        <f>SUM(K15:M15)</f>
        <v>0</v>
      </c>
      <c r="O15" s="103"/>
      <c r="P15" s="103"/>
      <c r="Q15" s="103"/>
      <c r="R15" s="103">
        <f>SUM(O15:Q15)</f>
        <v>0</v>
      </c>
      <c r="S15" s="103">
        <f>F15+J15+N15+R15</f>
        <v>161698.84</v>
      </c>
    </row>
    <row r="16" spans="1:22">
      <c r="A16" s="113"/>
      <c r="B16" s="45" t="s">
        <v>24</v>
      </c>
      <c r="C16" s="95">
        <f>C15/C14</f>
        <v>1.0231588628762542</v>
      </c>
      <c r="D16" s="95">
        <f>D15/D14</f>
        <v>1.0150165254237289</v>
      </c>
      <c r="E16" s="95">
        <f>E15/E14</f>
        <v>0.60673333333333335</v>
      </c>
      <c r="F16" s="95">
        <f t="shared" ref="F16:S16" si="5">F15/F14</f>
        <v>0.87124359281437125</v>
      </c>
      <c r="G16" s="95">
        <f t="shared" si="5"/>
        <v>0.83484848484848484</v>
      </c>
      <c r="H16" s="95">
        <f t="shared" si="5"/>
        <v>0.87222222222222223</v>
      </c>
      <c r="I16" s="95">
        <f t="shared" si="5"/>
        <v>1</v>
      </c>
      <c r="J16" s="95">
        <f t="shared" si="5"/>
        <v>0.89848484848484844</v>
      </c>
      <c r="K16" s="95">
        <f t="shared" si="5"/>
        <v>0</v>
      </c>
      <c r="L16" s="95">
        <f t="shared" si="5"/>
        <v>0</v>
      </c>
      <c r="M16" s="95">
        <f t="shared" si="5"/>
        <v>0</v>
      </c>
      <c r="N16" s="95">
        <f t="shared" si="5"/>
        <v>0</v>
      </c>
      <c r="O16" s="95">
        <f t="shared" si="5"/>
        <v>0</v>
      </c>
      <c r="P16" s="95">
        <f t="shared" si="5"/>
        <v>0</v>
      </c>
      <c r="Q16" s="95">
        <f t="shared" si="5"/>
        <v>0</v>
      </c>
      <c r="R16" s="95">
        <f t="shared" si="5"/>
        <v>0</v>
      </c>
      <c r="S16" s="95">
        <f t="shared" si="5"/>
        <v>0.35933075555555555</v>
      </c>
    </row>
    <row r="17" spans="1:19">
      <c r="A17" s="113"/>
      <c r="B17" s="44" t="s">
        <v>25</v>
      </c>
      <c r="C17" s="95">
        <f>C15/C13-1</f>
        <v>3.5786131606671212E-2</v>
      </c>
      <c r="D17" s="95">
        <f t="shared" ref="D17:S17" si="6">D15/D13-1</f>
        <v>0.26242241721308601</v>
      </c>
      <c r="E17" s="95">
        <f t="shared" si="6"/>
        <v>-0.28040953260571078</v>
      </c>
      <c r="F17" s="95">
        <f t="shared" si="6"/>
        <v>-1.4315117758785023E-2</v>
      </c>
      <c r="G17" s="95">
        <f t="shared" si="6"/>
        <v>0.29193125856519941</v>
      </c>
      <c r="H17" s="95">
        <f t="shared" si="6"/>
        <v>4.8200225524618112E-2</v>
      </c>
      <c r="I17" s="95">
        <f t="shared" si="6"/>
        <v>1.7542553560754293E-3</v>
      </c>
      <c r="J17" s="95">
        <f t="shared" si="6"/>
        <v>9.5062541754799224E-2</v>
      </c>
      <c r="K17" s="95">
        <f t="shared" si="6"/>
        <v>-1</v>
      </c>
      <c r="L17" s="95">
        <f t="shared" si="6"/>
        <v>-1</v>
      </c>
      <c r="M17" s="95">
        <f t="shared" si="6"/>
        <v>-1</v>
      </c>
      <c r="N17" s="95">
        <f t="shared" si="6"/>
        <v>-1</v>
      </c>
      <c r="O17" s="95">
        <f t="shared" si="6"/>
        <v>-1</v>
      </c>
      <c r="P17" s="95">
        <f t="shared" si="6"/>
        <v>-1</v>
      </c>
      <c r="Q17" s="95">
        <f t="shared" si="6"/>
        <v>-1</v>
      </c>
      <c r="R17" s="95">
        <f t="shared" si="6"/>
        <v>-1</v>
      </c>
      <c r="S17" s="95">
        <f t="shared" si="6"/>
        <v>-0.5746619360867905</v>
      </c>
    </row>
    <row r="19" spans="1:19">
      <c r="C19" s="50"/>
      <c r="D19" s="50"/>
      <c r="E19" s="50"/>
      <c r="F19" s="50"/>
      <c r="G19" s="50"/>
      <c r="H19" s="50"/>
      <c r="I19" s="50"/>
      <c r="J19" s="50"/>
      <c r="K19" s="50"/>
    </row>
    <row r="20" spans="1:19">
      <c r="C20"/>
    </row>
    <row r="21" spans="1:19" ht="24.75" customHeight="1">
      <c r="A21" s="111" t="s">
        <v>28</v>
      </c>
      <c r="B21" s="111"/>
      <c r="C21" s="24" t="s">
        <v>29</v>
      </c>
      <c r="D21" s="24" t="s">
        <v>30</v>
      </c>
      <c r="E21" s="24" t="s">
        <v>31</v>
      </c>
      <c r="F21" s="19" t="s">
        <v>5</v>
      </c>
      <c r="G21" s="18" t="s">
        <v>6</v>
      </c>
      <c r="H21" s="18" t="s">
        <v>7</v>
      </c>
      <c r="I21" s="18" t="s">
        <v>8</v>
      </c>
      <c r="J21" s="19" t="s">
        <v>9</v>
      </c>
      <c r="K21" s="18" t="s">
        <v>10</v>
      </c>
      <c r="L21" s="18" t="s">
        <v>11</v>
      </c>
      <c r="M21" s="18" t="s">
        <v>12</v>
      </c>
      <c r="N21" s="19" t="s">
        <v>13</v>
      </c>
      <c r="O21" s="18" t="s">
        <v>14</v>
      </c>
      <c r="P21" s="18" t="s">
        <v>15</v>
      </c>
      <c r="Q21" s="18" t="s">
        <v>16</v>
      </c>
      <c r="R21" s="19" t="s">
        <v>17</v>
      </c>
      <c r="S21" s="26" t="s">
        <v>18</v>
      </c>
    </row>
    <row r="22" spans="1:19" ht="18.75" customHeight="1">
      <c r="A22" s="111" t="s">
        <v>18</v>
      </c>
      <c r="B22" s="25" t="s">
        <v>32</v>
      </c>
      <c r="C22" s="20">
        <f>C3/1000</f>
        <v>103.0340913</v>
      </c>
      <c r="D22" s="20">
        <f t="shared" ref="D22:S22" si="7">D3/1000</f>
        <v>67.773028199999999</v>
      </c>
      <c r="E22" s="20">
        <f t="shared" si="7"/>
        <v>82.658177499999994</v>
      </c>
      <c r="F22" s="21">
        <f t="shared" si="7"/>
        <v>253.46529699999999</v>
      </c>
      <c r="G22" s="20">
        <f t="shared" si="7"/>
        <v>73.487724100000008</v>
      </c>
      <c r="H22" s="20">
        <f t="shared" si="7"/>
        <v>79.15828719999999</v>
      </c>
      <c r="I22" s="20">
        <f t="shared" si="7"/>
        <v>69.307020199999997</v>
      </c>
      <c r="J22" s="21">
        <f t="shared" si="7"/>
        <v>221.95303150000001</v>
      </c>
      <c r="K22" s="20">
        <f t="shared" si="7"/>
        <v>73.073048299999996</v>
      </c>
      <c r="L22" s="20">
        <f t="shared" si="7"/>
        <v>87.766221399999992</v>
      </c>
      <c r="M22" s="20">
        <f t="shared" si="7"/>
        <v>89.453018400000005</v>
      </c>
      <c r="N22" s="21">
        <f t="shared" si="7"/>
        <v>250.29228810000001</v>
      </c>
      <c r="O22" s="20">
        <f t="shared" si="7"/>
        <v>114.337129</v>
      </c>
      <c r="P22" s="20">
        <f t="shared" si="7"/>
        <v>81.080100000000002</v>
      </c>
      <c r="Q22" s="20">
        <f t="shared" si="7"/>
        <v>77.433171999999985</v>
      </c>
      <c r="R22" s="21">
        <f t="shared" si="7"/>
        <v>272.85040100000003</v>
      </c>
      <c r="S22" s="27">
        <f t="shared" si="7"/>
        <v>998.56101760000013</v>
      </c>
    </row>
    <row r="23" spans="1:19" ht="18.75" customHeight="1">
      <c r="A23" s="111"/>
      <c r="B23" s="25" t="s">
        <v>33</v>
      </c>
      <c r="C23" s="20">
        <f t="shared" ref="C23:S23" si="8">C4/1000</f>
        <v>111.9</v>
      </c>
      <c r="D23" s="20">
        <f t="shared" si="8"/>
        <v>76.599999999999994</v>
      </c>
      <c r="E23" s="20">
        <f t="shared" si="8"/>
        <v>103</v>
      </c>
      <c r="F23" s="21">
        <f t="shared" si="8"/>
        <v>291.5</v>
      </c>
      <c r="G23" s="20">
        <f t="shared" si="8"/>
        <v>107</v>
      </c>
      <c r="H23" s="20">
        <f t="shared" si="8"/>
        <v>115</v>
      </c>
      <c r="I23" s="20">
        <f t="shared" si="8"/>
        <v>107</v>
      </c>
      <c r="J23" s="21">
        <f t="shared" si="8"/>
        <v>329</v>
      </c>
      <c r="K23" s="20">
        <f t="shared" si="8"/>
        <v>106</v>
      </c>
      <c r="L23" s="20">
        <f t="shared" si="8"/>
        <v>119</v>
      </c>
      <c r="M23" s="20">
        <f t="shared" si="8"/>
        <v>126</v>
      </c>
      <c r="N23" s="21">
        <f t="shared" si="8"/>
        <v>351</v>
      </c>
      <c r="O23" s="20">
        <f t="shared" si="8"/>
        <v>140.5</v>
      </c>
      <c r="P23" s="20">
        <f t="shared" si="8"/>
        <v>123.6</v>
      </c>
      <c r="Q23" s="20">
        <f t="shared" si="8"/>
        <v>114.4</v>
      </c>
      <c r="R23" s="21">
        <f t="shared" si="8"/>
        <v>378.5</v>
      </c>
      <c r="S23" s="27">
        <f t="shared" si="8"/>
        <v>1350</v>
      </c>
    </row>
    <row r="24" spans="1:19" ht="18.75" customHeight="1">
      <c r="A24" s="111"/>
      <c r="B24" s="25" t="s">
        <v>34</v>
      </c>
      <c r="C24" s="20">
        <f t="shared" ref="C24:S24" si="9">C5/1000</f>
        <v>112.61815</v>
      </c>
      <c r="D24" s="20">
        <f t="shared" si="9"/>
        <v>76.846399999999988</v>
      </c>
      <c r="E24" s="20">
        <f t="shared" si="9"/>
        <v>81.223579999999998</v>
      </c>
      <c r="F24" s="21">
        <f t="shared" si="9"/>
        <v>270.68813</v>
      </c>
      <c r="G24" s="20">
        <f t="shared" si="9"/>
        <v>96.739000000000004</v>
      </c>
      <c r="H24" s="20">
        <f t="shared" si="9"/>
        <v>102.887</v>
      </c>
      <c r="I24" s="20">
        <f t="shared" si="9"/>
        <v>93.83</v>
      </c>
      <c r="J24" s="21">
        <f t="shared" si="9"/>
        <v>293.45600000000002</v>
      </c>
      <c r="K24" s="20">
        <f t="shared" si="9"/>
        <v>0</v>
      </c>
      <c r="L24" s="20">
        <f t="shared" si="9"/>
        <v>0</v>
      </c>
      <c r="M24" s="20">
        <f t="shared" si="9"/>
        <v>0</v>
      </c>
      <c r="N24" s="21" t="s">
        <v>35</v>
      </c>
      <c r="O24" s="20">
        <f t="shared" si="9"/>
        <v>0</v>
      </c>
      <c r="P24" s="20">
        <f t="shared" si="9"/>
        <v>0</v>
      </c>
      <c r="Q24" s="20">
        <f t="shared" si="9"/>
        <v>0</v>
      </c>
      <c r="R24" s="21" t="s">
        <v>35</v>
      </c>
      <c r="S24" s="27">
        <f t="shared" si="9"/>
        <v>564.14413000000002</v>
      </c>
    </row>
    <row r="25" spans="1:19" ht="18.75" customHeight="1">
      <c r="A25" s="111"/>
      <c r="B25" s="25" t="s">
        <v>36</v>
      </c>
      <c r="C25" s="29">
        <f>C24/C23</f>
        <v>1.006417783735478</v>
      </c>
      <c r="D25" s="29">
        <f t="shared" ref="D25" si="10">D24/D23</f>
        <v>1.0032167101827676</v>
      </c>
      <c r="E25" s="29">
        <f t="shared" ref="E25" si="11">E24/E23</f>
        <v>0.78857844660194176</v>
      </c>
      <c r="F25" s="30">
        <f t="shared" ref="F25" si="12">F24/F23</f>
        <v>0.92860421955403083</v>
      </c>
      <c r="G25" s="29">
        <f t="shared" ref="G25" si="13">G24/G23</f>
        <v>0.90410280373831775</v>
      </c>
      <c r="H25" s="29">
        <f t="shared" ref="H25" si="14">H24/H23</f>
        <v>0.89466956521739127</v>
      </c>
      <c r="I25" s="29">
        <f t="shared" ref="I25" si="15">I24/I23</f>
        <v>0.87691588785046726</v>
      </c>
      <c r="J25" s="30">
        <f t="shared" ref="J25" si="16">J24/J23</f>
        <v>0.89196352583586636</v>
      </c>
      <c r="K25" s="29">
        <f t="shared" ref="K25" si="17">K24/K23</f>
        <v>0</v>
      </c>
      <c r="L25" s="29">
        <f t="shared" ref="L25" si="18">L24/L23</f>
        <v>0</v>
      </c>
      <c r="M25" s="29">
        <f t="shared" ref="M25" si="19">M24/M23</f>
        <v>0</v>
      </c>
      <c r="N25" s="30" t="s">
        <v>35</v>
      </c>
      <c r="O25" s="29">
        <f t="shared" ref="O25" si="20">O24/O23</f>
        <v>0</v>
      </c>
      <c r="P25" s="29">
        <f t="shared" ref="P25" si="21">P24/P23</f>
        <v>0</v>
      </c>
      <c r="Q25" s="29">
        <f t="shared" ref="Q25" si="22">Q24/Q23</f>
        <v>0</v>
      </c>
      <c r="R25" s="30" t="s">
        <v>35</v>
      </c>
      <c r="S25" s="31">
        <f t="shared" ref="S25" si="23">S24/S23</f>
        <v>0.41788454074074077</v>
      </c>
    </row>
    <row r="26" spans="1:19" ht="18.75" customHeight="1">
      <c r="A26" s="111"/>
      <c r="B26" s="25" t="s">
        <v>37</v>
      </c>
      <c r="C26" s="29">
        <f>C24/C22-1</f>
        <v>9.3018326061560463E-2</v>
      </c>
      <c r="D26" s="29">
        <f t="shared" ref="D26:S26" si="24">D24/D22-1</f>
        <v>0.13387880165578903</v>
      </c>
      <c r="E26" s="29">
        <f t="shared" si="24"/>
        <v>-1.7355784308213162E-2</v>
      </c>
      <c r="F26" s="30">
        <f t="shared" si="24"/>
        <v>6.7949471599656475E-2</v>
      </c>
      <c r="G26" s="29">
        <f t="shared" si="24"/>
        <v>0.31639673407711366</v>
      </c>
      <c r="H26" s="29">
        <f t="shared" si="24"/>
        <v>0.29976283771839896</v>
      </c>
      <c r="I26" s="29">
        <f t="shared" si="24"/>
        <v>0.3538311087280015</v>
      </c>
      <c r="J26" s="30">
        <f t="shared" si="24"/>
        <v>0.3221536016731541</v>
      </c>
      <c r="K26" s="29">
        <f t="shared" si="24"/>
        <v>-1</v>
      </c>
      <c r="L26" s="29">
        <f t="shared" si="24"/>
        <v>-1</v>
      </c>
      <c r="M26" s="29">
        <f t="shared" si="24"/>
        <v>-1</v>
      </c>
      <c r="N26" s="30" t="s">
        <v>35</v>
      </c>
      <c r="O26" s="29">
        <f t="shared" si="24"/>
        <v>-1</v>
      </c>
      <c r="P26" s="29">
        <f t="shared" si="24"/>
        <v>-1</v>
      </c>
      <c r="Q26" s="29">
        <f t="shared" si="24"/>
        <v>-1</v>
      </c>
      <c r="R26" s="30" t="s">
        <v>35</v>
      </c>
      <c r="S26" s="31">
        <f t="shared" si="24"/>
        <v>-0.43504290668596601</v>
      </c>
    </row>
    <row r="27" spans="1:19" ht="18.75" customHeight="1">
      <c r="A27" s="111" t="s">
        <v>26</v>
      </c>
      <c r="B27" s="25" t="s">
        <v>32</v>
      </c>
      <c r="C27" s="20">
        <f>C8/1000</f>
        <v>73.498602199999993</v>
      </c>
      <c r="D27" s="20">
        <f t="shared" ref="D27:S27" si="25">D8/1000</f>
        <v>48.798087899999999</v>
      </c>
      <c r="E27" s="20">
        <f t="shared" si="25"/>
        <v>57.363234299999995</v>
      </c>
      <c r="F27" s="21">
        <f t="shared" si="25"/>
        <v>179.65992439999999</v>
      </c>
      <c r="G27" s="20">
        <f>G8/1000</f>
        <v>52.163060100000003</v>
      </c>
      <c r="H27" s="20">
        <f t="shared" si="25"/>
        <v>49.202178399999994</v>
      </c>
      <c r="I27" s="20">
        <f t="shared" si="25"/>
        <v>39.359555699999994</v>
      </c>
      <c r="J27" s="21">
        <f t="shared" si="25"/>
        <v>140.72479419999999</v>
      </c>
      <c r="K27" s="20">
        <f t="shared" si="25"/>
        <v>45.616638000000002</v>
      </c>
      <c r="L27" s="20">
        <f t="shared" si="25"/>
        <v>49.067628299999996</v>
      </c>
      <c r="M27" s="20">
        <f t="shared" si="25"/>
        <v>44.577117600000001</v>
      </c>
      <c r="N27" s="21">
        <f t="shared" si="25"/>
        <v>139.2613839</v>
      </c>
      <c r="O27" s="20">
        <f t="shared" si="25"/>
        <v>55.235586300000001</v>
      </c>
      <c r="P27" s="20">
        <f t="shared" si="25"/>
        <v>48.881842800000001</v>
      </c>
      <c r="Q27" s="20">
        <f t="shared" si="25"/>
        <v>54.632027700000002</v>
      </c>
      <c r="R27" s="21">
        <f t="shared" si="25"/>
        <v>158.74945680000002</v>
      </c>
      <c r="S27" s="27">
        <f t="shared" si="25"/>
        <v>618.39555930000006</v>
      </c>
    </row>
    <row r="28" spans="1:19" ht="18.75" customHeight="1">
      <c r="A28" s="111"/>
      <c r="B28" s="25" t="s">
        <v>33</v>
      </c>
      <c r="C28" s="20">
        <f t="shared" ref="C28:S28" si="26">C9/1000</f>
        <v>82</v>
      </c>
      <c r="D28" s="20">
        <f t="shared" si="26"/>
        <v>53</v>
      </c>
      <c r="E28" s="20">
        <f t="shared" si="26"/>
        <v>73</v>
      </c>
      <c r="F28" s="21">
        <f t="shared" si="26"/>
        <v>208</v>
      </c>
      <c r="G28" s="20">
        <f t="shared" si="26"/>
        <v>74</v>
      </c>
      <c r="H28" s="20">
        <f t="shared" si="26"/>
        <v>79</v>
      </c>
      <c r="I28" s="20">
        <f t="shared" si="26"/>
        <v>77</v>
      </c>
      <c r="J28" s="21">
        <f t="shared" si="26"/>
        <v>230</v>
      </c>
      <c r="K28" s="20">
        <f t="shared" si="26"/>
        <v>70</v>
      </c>
      <c r="L28" s="20">
        <f t="shared" si="26"/>
        <v>73</v>
      </c>
      <c r="M28" s="20">
        <f t="shared" si="26"/>
        <v>78</v>
      </c>
      <c r="N28" s="21">
        <f t="shared" si="26"/>
        <v>221</v>
      </c>
      <c r="O28" s="20">
        <f t="shared" si="26"/>
        <v>83</v>
      </c>
      <c r="P28" s="20">
        <f t="shared" si="26"/>
        <v>82</v>
      </c>
      <c r="Q28" s="20">
        <f t="shared" si="26"/>
        <v>76</v>
      </c>
      <c r="R28" s="21">
        <f t="shared" si="26"/>
        <v>241</v>
      </c>
      <c r="S28" s="27">
        <f t="shared" si="26"/>
        <v>900</v>
      </c>
    </row>
    <row r="29" spans="1:19" ht="18.75" customHeight="1">
      <c r="A29" s="111"/>
      <c r="B29" s="25" t="s">
        <v>34</v>
      </c>
      <c r="C29" s="20">
        <f t="shared" ref="C29:S29" si="27">C10/1000</f>
        <v>82.025700000000001</v>
      </c>
      <c r="D29" s="20">
        <f t="shared" si="27"/>
        <v>52.892009999999999</v>
      </c>
      <c r="E29" s="20">
        <f t="shared" si="27"/>
        <v>63.02158</v>
      </c>
      <c r="F29" s="21">
        <f t="shared" si="27"/>
        <v>197.93928999999997</v>
      </c>
      <c r="G29" s="20">
        <f t="shared" si="27"/>
        <v>69.188999999999993</v>
      </c>
      <c r="H29" s="20">
        <f t="shared" si="27"/>
        <v>71.486999999999995</v>
      </c>
      <c r="I29" s="20">
        <f t="shared" si="27"/>
        <v>63.83</v>
      </c>
      <c r="J29" s="21">
        <f t="shared" si="27"/>
        <v>204.506</v>
      </c>
      <c r="K29" s="20">
        <f t="shared" si="27"/>
        <v>0</v>
      </c>
      <c r="L29" s="20">
        <f t="shared" si="27"/>
        <v>0</v>
      </c>
      <c r="M29" s="20">
        <f t="shared" si="27"/>
        <v>0</v>
      </c>
      <c r="N29" s="21" t="s">
        <v>35</v>
      </c>
      <c r="O29" s="20">
        <f t="shared" ref="O29:Q29" si="28">O10/1000</f>
        <v>0</v>
      </c>
      <c r="P29" s="20">
        <f t="shared" si="28"/>
        <v>0</v>
      </c>
      <c r="Q29" s="20">
        <f t="shared" si="28"/>
        <v>0</v>
      </c>
      <c r="R29" s="21" t="s">
        <v>35</v>
      </c>
      <c r="S29" s="27">
        <f t="shared" si="27"/>
        <v>402.44529</v>
      </c>
    </row>
    <row r="30" spans="1:19" ht="18.75" customHeight="1">
      <c r="A30" s="111"/>
      <c r="B30" s="25" t="s">
        <v>38</v>
      </c>
      <c r="C30" s="22">
        <f>C29/C28</f>
        <v>1.0003134146341464</v>
      </c>
      <c r="D30" s="22">
        <f t="shared" ref="D30:F30" si="29">D29/D28</f>
        <v>0.9979624528301887</v>
      </c>
      <c r="E30" s="22">
        <f t="shared" si="29"/>
        <v>0.86330931506849318</v>
      </c>
      <c r="F30" s="30">
        <f t="shared" si="29"/>
        <v>0.95163120192307682</v>
      </c>
      <c r="G30" s="22">
        <f t="shared" ref="G30" si="30">G29/G28</f>
        <v>0.93498648648648641</v>
      </c>
      <c r="H30" s="22">
        <f t="shared" ref="H30:I30" si="31">H29/H28</f>
        <v>0.90489873417721511</v>
      </c>
      <c r="I30" s="22">
        <f t="shared" si="31"/>
        <v>0.8289610389610389</v>
      </c>
      <c r="J30" s="30">
        <f t="shared" ref="J30" si="32">J29/J28</f>
        <v>0.8891565217391304</v>
      </c>
      <c r="K30" s="22">
        <f t="shared" ref="K30:L30" si="33">K29/K28</f>
        <v>0</v>
      </c>
      <c r="L30" s="22">
        <f t="shared" si="33"/>
        <v>0</v>
      </c>
      <c r="M30" s="22">
        <f t="shared" ref="M30" si="34">M29/M28</f>
        <v>0</v>
      </c>
      <c r="N30" s="30" t="s">
        <v>35</v>
      </c>
      <c r="O30" s="29">
        <f t="shared" ref="O30:Q30" si="35">O29/O28</f>
        <v>0</v>
      </c>
      <c r="P30" s="29">
        <f t="shared" si="35"/>
        <v>0</v>
      </c>
      <c r="Q30" s="29">
        <f t="shared" si="35"/>
        <v>0</v>
      </c>
      <c r="R30" s="30" t="s">
        <v>35</v>
      </c>
      <c r="S30" s="31">
        <f t="shared" ref="S30" si="36">S29/S28</f>
        <v>0.44716143333333336</v>
      </c>
    </row>
    <row r="31" spans="1:19" ht="18.75" customHeight="1">
      <c r="A31" s="111"/>
      <c r="B31" s="25" t="s">
        <v>37</v>
      </c>
      <c r="C31" s="22">
        <f>C29/C27-1</f>
        <v>0.1160171424321319</v>
      </c>
      <c r="D31" s="22">
        <f t="shared" ref="D31:E31" si="37">D29/D27-1</f>
        <v>8.389513352222977E-2</v>
      </c>
      <c r="E31" s="22">
        <f t="shared" si="37"/>
        <v>9.8640632262954719E-2</v>
      </c>
      <c r="F31" s="23">
        <f>F29/F27-1</f>
        <v>0.10174425744108784</v>
      </c>
      <c r="G31" s="22">
        <f>G29/G27-1</f>
        <v>0.32639841043374651</v>
      </c>
      <c r="H31" s="22">
        <f t="shared" ref="H31:I31" si="38">H29/H27-1</f>
        <v>0.45292347462404225</v>
      </c>
      <c r="I31" s="22">
        <f t="shared" si="38"/>
        <v>0.62171546057365701</v>
      </c>
      <c r="J31" s="23">
        <f>J29/J27-1</f>
        <v>0.4532336050842134</v>
      </c>
      <c r="K31" s="22">
        <f>K29/K27-1</f>
        <v>-1</v>
      </c>
      <c r="L31" s="22">
        <f t="shared" ref="L31:M31" si="39">L29/L27-1</f>
        <v>-1</v>
      </c>
      <c r="M31" s="22">
        <f t="shared" si="39"/>
        <v>-1</v>
      </c>
      <c r="N31" s="30" t="s">
        <v>35</v>
      </c>
      <c r="O31" s="29">
        <f t="shared" ref="O31:Q31" si="40">O29/O27-1</f>
        <v>-1</v>
      </c>
      <c r="P31" s="29">
        <f t="shared" si="40"/>
        <v>-1</v>
      </c>
      <c r="Q31" s="29">
        <f t="shared" si="40"/>
        <v>-1</v>
      </c>
      <c r="R31" s="30" t="s">
        <v>35</v>
      </c>
      <c r="S31" s="31">
        <f t="shared" ref="S31" si="41">S29/S27-1</f>
        <v>-0.34921057574289094</v>
      </c>
    </row>
    <row r="32" spans="1:19" ht="18.75" customHeight="1">
      <c r="A32" s="111" t="s">
        <v>27</v>
      </c>
      <c r="B32" s="25" t="s">
        <v>32</v>
      </c>
      <c r="C32" s="20">
        <f>C13/1000</f>
        <v>29.535489099999999</v>
      </c>
      <c r="D32" s="20">
        <f t="shared" ref="D32:S32" si="42">D13/1000</f>
        <v>18.9749403</v>
      </c>
      <c r="E32" s="20">
        <f t="shared" si="42"/>
        <v>25.294943200000002</v>
      </c>
      <c r="F32" s="21">
        <f t="shared" si="42"/>
        <v>73.805372599999998</v>
      </c>
      <c r="G32" s="20">
        <f t="shared" si="42"/>
        <v>21.324664000000002</v>
      </c>
      <c r="H32" s="20">
        <f t="shared" si="42"/>
        <v>29.956108800000003</v>
      </c>
      <c r="I32" s="20">
        <f t="shared" si="42"/>
        <v>29.947464499999999</v>
      </c>
      <c r="J32" s="21">
        <f t="shared" si="42"/>
        <v>81.228237300000004</v>
      </c>
      <c r="K32" s="20">
        <f t="shared" si="42"/>
        <v>27.456410299999998</v>
      </c>
      <c r="L32" s="20">
        <f t="shared" si="42"/>
        <v>38.698593099999997</v>
      </c>
      <c r="M32" s="20">
        <f t="shared" si="42"/>
        <v>44.875900800000004</v>
      </c>
      <c r="N32" s="21">
        <f t="shared" si="42"/>
        <v>111.03090420000001</v>
      </c>
      <c r="O32" s="20">
        <f t="shared" si="42"/>
        <v>59.101542699999996</v>
      </c>
      <c r="P32" s="20">
        <f t="shared" si="42"/>
        <v>32.1982572</v>
      </c>
      <c r="Q32" s="20">
        <f t="shared" si="42"/>
        <v>22.801144300000001</v>
      </c>
      <c r="R32" s="21">
        <f t="shared" si="42"/>
        <v>114.1009442</v>
      </c>
      <c r="S32" s="27">
        <f t="shared" si="42"/>
        <v>380.16545830000007</v>
      </c>
    </row>
    <row r="33" spans="1:19" ht="18.75" customHeight="1">
      <c r="A33" s="111"/>
      <c r="B33" s="25" t="s">
        <v>33</v>
      </c>
      <c r="C33" s="20">
        <f t="shared" ref="C33:S33" si="43">C14/1000</f>
        <v>29.9</v>
      </c>
      <c r="D33" s="20">
        <f t="shared" si="43"/>
        <v>23.6</v>
      </c>
      <c r="E33" s="20">
        <f t="shared" si="43"/>
        <v>30</v>
      </c>
      <c r="F33" s="21">
        <f t="shared" si="43"/>
        <v>83.5</v>
      </c>
      <c r="G33" s="20">
        <f t="shared" si="43"/>
        <v>33</v>
      </c>
      <c r="H33" s="20">
        <f t="shared" si="43"/>
        <v>36</v>
      </c>
      <c r="I33" s="20">
        <f t="shared" si="43"/>
        <v>30</v>
      </c>
      <c r="J33" s="21">
        <f t="shared" si="43"/>
        <v>99</v>
      </c>
      <c r="K33" s="20">
        <f t="shared" si="43"/>
        <v>36</v>
      </c>
      <c r="L33" s="20">
        <f t="shared" si="43"/>
        <v>46</v>
      </c>
      <c r="M33" s="20">
        <f t="shared" si="43"/>
        <v>48</v>
      </c>
      <c r="N33" s="21">
        <f t="shared" si="43"/>
        <v>130</v>
      </c>
      <c r="O33" s="20">
        <f t="shared" si="43"/>
        <v>57.5</v>
      </c>
      <c r="P33" s="20">
        <f t="shared" si="43"/>
        <v>41.6</v>
      </c>
      <c r="Q33" s="20">
        <f t="shared" si="43"/>
        <v>38.4</v>
      </c>
      <c r="R33" s="21">
        <f t="shared" si="43"/>
        <v>137.5</v>
      </c>
      <c r="S33" s="27">
        <f t="shared" si="43"/>
        <v>450</v>
      </c>
    </row>
    <row r="34" spans="1:19" ht="18.75" customHeight="1">
      <c r="A34" s="111"/>
      <c r="B34" s="25" t="s">
        <v>34</v>
      </c>
      <c r="C34" s="20">
        <f t="shared" ref="C34:S34" si="44">C15/1000</f>
        <v>30.592449999999999</v>
      </c>
      <c r="D34" s="20">
        <f t="shared" si="44"/>
        <v>23.95439</v>
      </c>
      <c r="E34" s="20">
        <f t="shared" si="44"/>
        <v>18.202000000000002</v>
      </c>
      <c r="F34" s="21">
        <f t="shared" si="44"/>
        <v>72.748840000000001</v>
      </c>
      <c r="G34" s="20">
        <f t="shared" si="44"/>
        <v>27.55</v>
      </c>
      <c r="H34" s="20">
        <f t="shared" si="44"/>
        <v>31.4</v>
      </c>
      <c r="I34" s="20">
        <f t="shared" si="44"/>
        <v>30</v>
      </c>
      <c r="J34" s="21">
        <f t="shared" si="44"/>
        <v>88.95</v>
      </c>
      <c r="K34" s="20">
        <f t="shared" si="44"/>
        <v>0</v>
      </c>
      <c r="L34" s="20">
        <f t="shared" si="44"/>
        <v>0</v>
      </c>
      <c r="M34" s="20">
        <f t="shared" si="44"/>
        <v>0</v>
      </c>
      <c r="N34" s="21" t="s">
        <v>35</v>
      </c>
      <c r="O34" s="20">
        <f t="shared" ref="O34:Q34" si="45">O15/1000</f>
        <v>0</v>
      </c>
      <c r="P34" s="20">
        <f t="shared" si="45"/>
        <v>0</v>
      </c>
      <c r="Q34" s="20">
        <f t="shared" si="45"/>
        <v>0</v>
      </c>
      <c r="R34" s="21" t="s">
        <v>35</v>
      </c>
      <c r="S34" s="27">
        <f t="shared" si="44"/>
        <v>161.69883999999999</v>
      </c>
    </row>
    <row r="35" spans="1:19" ht="18.75" customHeight="1">
      <c r="A35" s="111"/>
      <c r="B35" s="25" t="s">
        <v>38</v>
      </c>
      <c r="C35" s="22">
        <f>C34/C33</f>
        <v>1.0231588628762542</v>
      </c>
      <c r="D35" s="22">
        <f t="shared" ref="D35:S35" si="46">D34/D33</f>
        <v>1.0150165254237287</v>
      </c>
      <c r="E35" s="22">
        <f t="shared" si="46"/>
        <v>0.60673333333333335</v>
      </c>
      <c r="F35" s="30">
        <f t="shared" si="46"/>
        <v>0.87124359281437125</v>
      </c>
      <c r="G35" s="22">
        <f t="shared" si="46"/>
        <v>0.83484848484848484</v>
      </c>
      <c r="H35" s="22">
        <f t="shared" si="46"/>
        <v>0.87222222222222223</v>
      </c>
      <c r="I35" s="22">
        <f t="shared" si="46"/>
        <v>1</v>
      </c>
      <c r="J35" s="30">
        <f t="shared" si="46"/>
        <v>0.89848484848484855</v>
      </c>
      <c r="K35" s="22">
        <f t="shared" si="46"/>
        <v>0</v>
      </c>
      <c r="L35" s="22">
        <f t="shared" si="46"/>
        <v>0</v>
      </c>
      <c r="M35" s="22">
        <f t="shared" si="46"/>
        <v>0</v>
      </c>
      <c r="N35" s="30" t="s">
        <v>35</v>
      </c>
      <c r="O35" s="29">
        <f t="shared" ref="O35:Q35" si="47">O34/O33</f>
        <v>0</v>
      </c>
      <c r="P35" s="29">
        <f t="shared" si="47"/>
        <v>0</v>
      </c>
      <c r="Q35" s="29">
        <f t="shared" si="47"/>
        <v>0</v>
      </c>
      <c r="R35" s="30" t="s">
        <v>35</v>
      </c>
      <c r="S35" s="28">
        <f t="shared" si="46"/>
        <v>0.35933075555555555</v>
      </c>
    </row>
    <row r="36" spans="1:19" ht="18.75" customHeight="1">
      <c r="A36" s="111"/>
      <c r="B36" s="25" t="s">
        <v>37</v>
      </c>
      <c r="C36" s="22">
        <f>C34/C32-1</f>
        <v>3.5786131606671212E-2</v>
      </c>
      <c r="D36" s="22">
        <f t="shared" ref="D36:E36" si="48">D34/D32-1</f>
        <v>0.26242241721308601</v>
      </c>
      <c r="E36" s="22">
        <f t="shared" si="48"/>
        <v>-0.28040953260571067</v>
      </c>
      <c r="F36" s="23">
        <f>F34/F32-1</f>
        <v>-1.4315117758784912E-2</v>
      </c>
      <c r="G36" s="22">
        <f>G34/G32-1</f>
        <v>0.29193125856519941</v>
      </c>
      <c r="H36" s="22">
        <f t="shared" ref="H36:I36" si="49">H34/H32-1</f>
        <v>4.8200225524618112E-2</v>
      </c>
      <c r="I36" s="22">
        <f t="shared" si="49"/>
        <v>1.7542553560754293E-3</v>
      </c>
      <c r="J36" s="23">
        <f>J34/J32-1</f>
        <v>9.5062541754799446E-2</v>
      </c>
      <c r="K36" s="22">
        <f>K34/K32-1</f>
        <v>-1</v>
      </c>
      <c r="L36" s="22">
        <f t="shared" ref="L36:M36" si="50">L34/L32-1</f>
        <v>-1</v>
      </c>
      <c r="M36" s="22">
        <f t="shared" si="50"/>
        <v>-1</v>
      </c>
      <c r="N36" s="30" t="s">
        <v>35</v>
      </c>
      <c r="O36" s="29">
        <f t="shared" ref="O36:Q36" si="51">O34/O32-1</f>
        <v>-1</v>
      </c>
      <c r="P36" s="29">
        <f t="shared" si="51"/>
        <v>-1</v>
      </c>
      <c r="Q36" s="29">
        <f t="shared" si="51"/>
        <v>-1</v>
      </c>
      <c r="R36" s="30" t="s">
        <v>35</v>
      </c>
      <c r="S36" s="31">
        <f t="shared" ref="S36" si="52">S34/S32-1</f>
        <v>-0.57466193608679061</v>
      </c>
    </row>
  </sheetData>
  <mergeCells count="8">
    <mergeCell ref="A22:A26"/>
    <mergeCell ref="A27:A31"/>
    <mergeCell ref="A32:A36"/>
    <mergeCell ref="A2:B2"/>
    <mergeCell ref="A3:A7"/>
    <mergeCell ref="A8:A12"/>
    <mergeCell ref="A13:A17"/>
    <mergeCell ref="A21:B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593E-9779-462E-B4A8-CD166750D604}">
  <sheetPr>
    <tabColor rgb="FFFFC000"/>
  </sheetPr>
  <dimension ref="A1:AK220"/>
  <sheetViews>
    <sheetView tabSelected="1" topLeftCell="G1" workbookViewId="0">
      <selection activeCell="T13" sqref="T13:U13"/>
    </sheetView>
  </sheetViews>
  <sheetFormatPr defaultRowHeight="16.5" outlineLevelCol="1"/>
  <cols>
    <col min="1" max="1" width="6.125" customWidth="1"/>
    <col min="2" max="2" width="10.375" style="51" customWidth="1"/>
    <col min="4" max="5" width="14.625" style="1" customWidth="1"/>
    <col min="6" max="6" width="11.375" style="56" bestFit="1" customWidth="1"/>
    <col min="7" max="7" width="15" style="56" customWidth="1"/>
    <col min="8" max="8" width="14.25" style="56" customWidth="1"/>
    <col min="9" max="9" width="15.75" style="32" customWidth="1"/>
    <col min="10" max="10" width="11.625" style="1" bestFit="1" customWidth="1"/>
    <col min="11" max="11" width="9.25" style="1" customWidth="1"/>
    <col min="12" max="13" width="14.625" customWidth="1"/>
    <col min="14" max="14" width="3.375" customWidth="1"/>
    <col min="15" max="16" width="9" customWidth="1" outlineLevel="1"/>
    <col min="17" max="19" width="9.125" customWidth="1" outlineLevel="1"/>
    <col min="20" max="20" width="9.375" customWidth="1" outlineLevel="1"/>
    <col min="21" max="23" width="9.125" customWidth="1" outlineLevel="1"/>
    <col min="24" max="24" width="9.375" customWidth="1" outlineLevel="1"/>
    <col min="25" max="27" width="9.125" customWidth="1" outlineLevel="1"/>
    <col min="28" max="28" width="9.375" customWidth="1" outlineLevel="1"/>
    <col min="29" max="31" width="9.125" customWidth="1" outlineLevel="1"/>
    <col min="32" max="33" width="9.375" customWidth="1" outlineLevel="1"/>
    <col min="36" max="36" width="19.875" customWidth="1"/>
    <col min="38" max="38" width="19.875" customWidth="1"/>
  </cols>
  <sheetData>
    <row r="1" spans="1:34">
      <c r="A1" s="9" t="s">
        <v>39</v>
      </c>
      <c r="D1" s="46" t="s">
        <v>40</v>
      </c>
      <c r="I1" s="56"/>
      <c r="O1" s="9" t="s">
        <v>41</v>
      </c>
    </row>
    <row r="2" spans="1:34">
      <c r="D2" s="47" t="s">
        <v>42</v>
      </c>
      <c r="F2" s="97">
        <f>SUBTOTAL(9,F4:F9995)</f>
        <v>618395.53000000014</v>
      </c>
      <c r="G2" s="97">
        <f>SUBTOTAL(9,G4:G9995)</f>
        <v>179659.9599999999</v>
      </c>
      <c r="H2" s="97">
        <f>SUBTOTAL(9,H4:H9995)</f>
        <v>900000</v>
      </c>
      <c r="I2" s="97">
        <f>SUBTOTAL(9,I4:I9995)</f>
        <v>197939.29727200008</v>
      </c>
    </row>
    <row r="3" spans="1:34" ht="18">
      <c r="A3" s="5" t="s">
        <v>43</v>
      </c>
      <c r="B3" s="52" t="s">
        <v>44</v>
      </c>
      <c r="C3" s="5" t="s">
        <v>45</v>
      </c>
      <c r="D3" s="5" t="s">
        <v>46</v>
      </c>
      <c r="E3" s="8" t="s">
        <v>47</v>
      </c>
      <c r="F3" s="57" t="s">
        <v>48</v>
      </c>
      <c r="G3" s="72" t="s">
        <v>49</v>
      </c>
      <c r="H3" s="58" t="s">
        <v>50</v>
      </c>
      <c r="I3" s="58" t="s">
        <v>51</v>
      </c>
      <c r="J3" s="8" t="s">
        <v>52</v>
      </c>
      <c r="K3" s="8" t="s">
        <v>678</v>
      </c>
      <c r="L3" s="16"/>
      <c r="M3" s="8" t="s">
        <v>47</v>
      </c>
      <c r="N3" s="16"/>
      <c r="O3" s="11"/>
      <c r="P3" s="12"/>
      <c r="Q3" s="38" t="s">
        <v>53</v>
      </c>
      <c r="R3" s="38" t="s">
        <v>54</v>
      </c>
      <c r="S3" s="38" t="s">
        <v>55</v>
      </c>
      <c r="T3" s="38" t="s">
        <v>56</v>
      </c>
      <c r="U3" s="38" t="s">
        <v>57</v>
      </c>
      <c r="V3" s="38" t="s">
        <v>58</v>
      </c>
      <c r="W3" s="38" t="s">
        <v>59</v>
      </c>
      <c r="X3" s="38" t="s">
        <v>60</v>
      </c>
      <c r="Y3" s="38" t="s">
        <v>61</v>
      </c>
      <c r="Z3" s="38" t="s">
        <v>62</v>
      </c>
      <c r="AA3" s="38" t="s">
        <v>63</v>
      </c>
      <c r="AB3" s="38" t="s">
        <v>64</v>
      </c>
      <c r="AC3" s="38" t="s">
        <v>65</v>
      </c>
      <c r="AD3" s="38" t="s">
        <v>66</v>
      </c>
      <c r="AE3" s="38" t="s">
        <v>67</v>
      </c>
      <c r="AF3" s="38" t="s">
        <v>68</v>
      </c>
      <c r="AG3" s="38" t="s">
        <v>69</v>
      </c>
    </row>
    <row r="4" spans="1:34">
      <c r="A4" s="2">
        <f t="shared" ref="A4:A67" si="0">RANK(I4,$I$4:$I$999)</f>
        <v>1</v>
      </c>
      <c r="B4" s="53" t="s">
        <v>140</v>
      </c>
      <c r="C4" s="40" t="s">
        <v>102</v>
      </c>
      <c r="D4" s="48" t="s">
        <v>676</v>
      </c>
      <c r="E4" s="49" t="str">
        <f t="shared" ref="E4:E67" si="1">IF(M4=" 三线城市及其他 ","Y","N")</f>
        <v>N</v>
      </c>
      <c r="F4" s="55">
        <v>120257.59</v>
      </c>
      <c r="G4" s="55">
        <v>31693.41</v>
      </c>
      <c r="H4" s="55">
        <v>90000</v>
      </c>
      <c r="I4" s="55">
        <v>33345.337070000001</v>
      </c>
      <c r="J4" s="96" t="str">
        <f>IF(K4="","-",IF(A4=K4,"-",IF(A4&lt;K4,"▲"&amp;K4-A4,"▼"&amp;A4-K4)))</f>
        <v>-</v>
      </c>
      <c r="K4" s="49">
        <f t="shared" ref="K4:K67" si="2">RANK(G4,$G$4:$G$999)</f>
        <v>1</v>
      </c>
      <c r="M4" s="42" t="s">
        <v>73</v>
      </c>
      <c r="O4" s="36" t="s">
        <v>71</v>
      </c>
      <c r="P4" s="37" t="s">
        <v>72</v>
      </c>
      <c r="Q4" s="107">
        <v>37359</v>
      </c>
      <c r="R4" s="108">
        <v>24692</v>
      </c>
      <c r="S4" s="108">
        <v>24977</v>
      </c>
      <c r="T4" s="108">
        <f>SUM(Q4:S4)</f>
        <v>87028</v>
      </c>
      <c r="U4" s="108">
        <v>25450</v>
      </c>
      <c r="V4" s="108">
        <v>24665</v>
      </c>
      <c r="W4" s="108">
        <v>8686</v>
      </c>
      <c r="X4" s="108">
        <f>SUM(U4:W4)</f>
        <v>58801</v>
      </c>
      <c r="Y4" s="108">
        <v>17192</v>
      </c>
      <c r="Z4" s="108">
        <v>26962</v>
      </c>
      <c r="AA4" s="108">
        <v>17293</v>
      </c>
      <c r="AB4" s="108">
        <f>SUM(Y4:AA4)</f>
        <v>61447</v>
      </c>
      <c r="AC4" s="108">
        <v>23296</v>
      </c>
      <c r="AD4" s="108">
        <v>13954</v>
      </c>
      <c r="AE4" s="108">
        <v>20891</v>
      </c>
      <c r="AF4" s="108">
        <f>SUM(AC4:AE4)</f>
        <v>58141</v>
      </c>
      <c r="AG4" s="108">
        <f>SUM(T4,X4,AB4,AF4)</f>
        <v>265417</v>
      </c>
      <c r="AH4" t="str">
        <f>MID(3,2,5)</f>
        <v/>
      </c>
    </row>
    <row r="5" spans="1:34">
      <c r="A5" s="2">
        <f t="shared" si="0"/>
        <v>2</v>
      </c>
      <c r="B5" s="53" t="s">
        <v>143</v>
      </c>
      <c r="C5" s="41" t="s">
        <v>79</v>
      </c>
      <c r="D5" s="48" t="s">
        <v>676</v>
      </c>
      <c r="E5" s="49" t="str">
        <f t="shared" si="1"/>
        <v>N</v>
      </c>
      <c r="F5" s="55">
        <v>66437.820000000007</v>
      </c>
      <c r="G5" s="55">
        <v>13253.18</v>
      </c>
      <c r="H5" s="55">
        <v>70000</v>
      </c>
      <c r="I5" s="55">
        <v>27577.89659</v>
      </c>
      <c r="J5" s="96" t="str">
        <f t="shared" ref="J5:J68" si="3">IF(K5="","-",IF(A5=K5,"-",IF(A5&lt;K5,"▲"&amp;K5-A5,"▼"&amp;A5-K5)))</f>
        <v>▲1</v>
      </c>
      <c r="K5" s="49">
        <f t="shared" si="2"/>
        <v>3</v>
      </c>
      <c r="M5" s="43" t="s">
        <v>70</v>
      </c>
      <c r="O5" s="36" t="s">
        <v>74</v>
      </c>
      <c r="P5" s="37" t="s">
        <v>75</v>
      </c>
      <c r="Q5" s="109">
        <v>20167</v>
      </c>
      <c r="R5" s="110">
        <v>12642</v>
      </c>
      <c r="S5" s="110">
        <v>18416</v>
      </c>
      <c r="T5" s="108">
        <f>SUM(Q5:S5)</f>
        <v>51225</v>
      </c>
      <c r="U5" s="110">
        <v>13641</v>
      </c>
      <c r="V5" s="110">
        <v>12311</v>
      </c>
      <c r="W5" s="110">
        <v>17853</v>
      </c>
      <c r="X5" s="108">
        <f>SUM(U5:W5)</f>
        <v>43805</v>
      </c>
      <c r="Y5" s="110">
        <v>12085</v>
      </c>
      <c r="Z5" s="110">
        <v>8407</v>
      </c>
      <c r="AA5" s="110">
        <v>10551</v>
      </c>
      <c r="AB5" s="108">
        <f>SUM(Y5:AA5)</f>
        <v>31043</v>
      </c>
      <c r="AC5" s="110">
        <v>12264</v>
      </c>
      <c r="AD5" s="110">
        <v>16524</v>
      </c>
      <c r="AE5" s="110">
        <v>10441</v>
      </c>
      <c r="AF5" s="108">
        <f>SUM(AC5:AE5)</f>
        <v>39229</v>
      </c>
      <c r="AG5" s="108">
        <f>SUM(T5,X5,AB5,AF5)</f>
        <v>165302</v>
      </c>
    </row>
    <row r="6" spans="1:34">
      <c r="A6" s="2">
        <f t="shared" si="0"/>
        <v>3</v>
      </c>
      <c r="B6" s="53" t="s">
        <v>144</v>
      </c>
      <c r="C6" s="41" t="s">
        <v>102</v>
      </c>
      <c r="D6" s="48" t="s">
        <v>676</v>
      </c>
      <c r="E6" s="49" t="str">
        <f t="shared" si="1"/>
        <v>N</v>
      </c>
      <c r="F6" s="55">
        <v>-1576.3</v>
      </c>
      <c r="G6" s="55">
        <v>15061.76</v>
      </c>
      <c r="H6" s="55">
        <v>50000</v>
      </c>
      <c r="I6" s="55">
        <v>16293.396220000001</v>
      </c>
      <c r="J6" s="96" t="str">
        <f t="shared" si="3"/>
        <v>▼1</v>
      </c>
      <c r="K6" s="49">
        <f t="shared" si="2"/>
        <v>2</v>
      </c>
      <c r="M6" s="43" t="s">
        <v>70</v>
      </c>
      <c r="O6" s="36" t="s">
        <v>76</v>
      </c>
      <c r="P6" s="37" t="s">
        <v>77</v>
      </c>
      <c r="Q6" s="109">
        <v>7062</v>
      </c>
      <c r="R6" s="110">
        <v>3158</v>
      </c>
      <c r="S6" s="110">
        <v>5526</v>
      </c>
      <c r="T6" s="108">
        <f>SUM(Q6:S6)</f>
        <v>15746</v>
      </c>
      <c r="U6" s="110">
        <v>4328</v>
      </c>
      <c r="V6" s="110">
        <v>2841</v>
      </c>
      <c r="W6" s="110">
        <v>3643</v>
      </c>
      <c r="X6" s="108">
        <f>SUM(U6:W6)</f>
        <v>10812</v>
      </c>
      <c r="Y6" s="110">
        <v>6365</v>
      </c>
      <c r="Z6" s="110">
        <v>4077</v>
      </c>
      <c r="AA6" s="110">
        <v>7640</v>
      </c>
      <c r="AB6" s="108">
        <f>SUM(Y6:AA6)</f>
        <v>18082</v>
      </c>
      <c r="AC6" s="110">
        <v>9386</v>
      </c>
      <c r="AD6" s="110">
        <v>10468</v>
      </c>
      <c r="AE6" s="110">
        <v>9083</v>
      </c>
      <c r="AF6" s="108">
        <f>SUM(AC6:AE6)</f>
        <v>28937</v>
      </c>
      <c r="AG6" s="108">
        <f>SUM(T6,X6,AB6,AF6)</f>
        <v>73577</v>
      </c>
    </row>
    <row r="7" spans="1:34">
      <c r="A7" s="2">
        <f t="shared" si="0"/>
        <v>4</v>
      </c>
      <c r="B7" s="53" t="s">
        <v>145</v>
      </c>
      <c r="C7" s="41" t="s">
        <v>102</v>
      </c>
      <c r="D7" s="48" t="s">
        <v>676</v>
      </c>
      <c r="E7" s="49" t="str">
        <f t="shared" si="1"/>
        <v>N</v>
      </c>
      <c r="F7" s="55">
        <v>27224.18</v>
      </c>
      <c r="G7" s="55">
        <v>7806.35</v>
      </c>
      <c r="H7" s="55">
        <v>30000</v>
      </c>
      <c r="I7" s="55">
        <v>15339.341050000001</v>
      </c>
      <c r="J7" s="96" t="str">
        <f t="shared" si="3"/>
        <v>▲3</v>
      </c>
      <c r="K7" s="49">
        <f t="shared" si="2"/>
        <v>7</v>
      </c>
      <c r="M7" s="43" t="s">
        <v>73</v>
      </c>
      <c r="O7" s="36" t="s">
        <v>78</v>
      </c>
      <c r="P7" s="37" t="s">
        <v>79</v>
      </c>
      <c r="Q7" s="109">
        <v>5263</v>
      </c>
      <c r="R7" s="110">
        <v>4532</v>
      </c>
      <c r="S7" s="110">
        <v>4214</v>
      </c>
      <c r="T7" s="108">
        <f>SUM(Q7:S7)</f>
        <v>14009</v>
      </c>
      <c r="U7" s="110">
        <v>5392</v>
      </c>
      <c r="V7" s="110">
        <v>5763</v>
      </c>
      <c r="W7" s="110">
        <v>4860</v>
      </c>
      <c r="X7" s="108">
        <f>SUM(U7:W7)</f>
        <v>16015</v>
      </c>
      <c r="Y7" s="110">
        <v>5302</v>
      </c>
      <c r="Z7" s="110">
        <v>3344</v>
      </c>
      <c r="AA7" s="110">
        <v>3895</v>
      </c>
      <c r="AB7" s="108">
        <f>SUM(Y7:AA7)</f>
        <v>12541</v>
      </c>
      <c r="AC7" s="110">
        <v>7153</v>
      </c>
      <c r="AD7" s="110">
        <v>5159</v>
      </c>
      <c r="AE7" s="110">
        <v>14339</v>
      </c>
      <c r="AF7" s="108">
        <f>SUM(AC7:AE7)</f>
        <v>26651</v>
      </c>
      <c r="AG7" s="108">
        <f>SUM(T7,X7,AB7,AF7)</f>
        <v>69216</v>
      </c>
    </row>
    <row r="8" spans="1:34">
      <c r="A8" s="2">
        <f t="shared" si="0"/>
        <v>5</v>
      </c>
      <c r="B8" s="53" t="s">
        <v>153</v>
      </c>
      <c r="C8" s="41" t="s">
        <v>106</v>
      </c>
      <c r="D8" s="48" t="s">
        <v>676</v>
      </c>
      <c r="E8" s="49" t="str">
        <f t="shared" si="1"/>
        <v>N</v>
      </c>
      <c r="F8" s="55">
        <v>21123.13</v>
      </c>
      <c r="G8" s="55">
        <v>6138.96</v>
      </c>
      <c r="H8" s="55">
        <v>30000</v>
      </c>
      <c r="I8" s="55">
        <v>8940.2953300000008</v>
      </c>
      <c r="J8" s="96" t="str">
        <f t="shared" si="3"/>
        <v>▲5</v>
      </c>
      <c r="K8" s="49">
        <f t="shared" si="2"/>
        <v>10</v>
      </c>
      <c r="M8" s="43" t="s">
        <v>70</v>
      </c>
      <c r="O8" s="36" t="s">
        <v>80</v>
      </c>
      <c r="P8" s="37" t="s">
        <v>18</v>
      </c>
      <c r="Q8" s="109">
        <f>SUM(Q4:Q7)</f>
        <v>69851</v>
      </c>
      <c r="R8" s="109">
        <f>SUM(R4:R7)</f>
        <v>45024</v>
      </c>
      <c r="S8" s="109">
        <f>SUM(S4:S7)</f>
        <v>53133</v>
      </c>
      <c r="T8" s="108">
        <f>SUM(Q8:S8)</f>
        <v>168008</v>
      </c>
      <c r="U8" s="109">
        <f>SUM(U4:U7)</f>
        <v>48811</v>
      </c>
      <c r="V8" s="109">
        <f>SUM(V4:V7)</f>
        <v>45580</v>
      </c>
      <c r="W8" s="109">
        <f>SUM(W4:W7)</f>
        <v>35042</v>
      </c>
      <c r="X8" s="108">
        <f>SUM(U8:W8)</f>
        <v>129433</v>
      </c>
      <c r="Y8" s="109">
        <f>SUM(Y4:Y7)</f>
        <v>40944</v>
      </c>
      <c r="Z8" s="109">
        <f>SUM(Z4:Z7)</f>
        <v>42790</v>
      </c>
      <c r="AA8" s="109">
        <f>SUM(AA4:AA7)</f>
        <v>39379</v>
      </c>
      <c r="AB8" s="108">
        <f>SUM(Y8:AA8)</f>
        <v>123113</v>
      </c>
      <c r="AC8" s="109">
        <f>SUM(AC4:AC7)</f>
        <v>52099</v>
      </c>
      <c r="AD8" s="109">
        <f>SUM(AD4:AD7)</f>
        <v>46105</v>
      </c>
      <c r="AE8" s="109">
        <f>SUM(AE4:AE7)</f>
        <v>54754</v>
      </c>
      <c r="AF8" s="108">
        <f>SUM(AC8:AE8)</f>
        <v>152958</v>
      </c>
      <c r="AG8" s="109">
        <f>SUM(AG4:AG7)</f>
        <v>573512</v>
      </c>
    </row>
    <row r="9" spans="1:34">
      <c r="A9" s="2">
        <f t="shared" si="0"/>
        <v>6</v>
      </c>
      <c r="B9" s="53" t="s">
        <v>147</v>
      </c>
      <c r="C9" s="41" t="s">
        <v>102</v>
      </c>
      <c r="D9" s="48" t="s">
        <v>676</v>
      </c>
      <c r="E9" s="49" t="str">
        <f t="shared" si="1"/>
        <v>N</v>
      </c>
      <c r="F9" s="55">
        <v>989.38</v>
      </c>
      <c r="G9" s="55">
        <v>122.1</v>
      </c>
      <c r="H9" s="55">
        <v>5000</v>
      </c>
      <c r="I9" s="55">
        <v>8345.3709500000004</v>
      </c>
      <c r="J9" s="96" t="str">
        <f t="shared" si="3"/>
        <v>▲83</v>
      </c>
      <c r="K9" s="49">
        <f t="shared" si="2"/>
        <v>89</v>
      </c>
      <c r="M9" s="43" t="s">
        <v>70</v>
      </c>
    </row>
    <row r="10" spans="1:34">
      <c r="A10" s="2">
        <f t="shared" si="0"/>
        <v>7</v>
      </c>
      <c r="B10" s="53" t="s">
        <v>149</v>
      </c>
      <c r="C10" s="41" t="s">
        <v>102</v>
      </c>
      <c r="D10" s="48" t="s">
        <v>676</v>
      </c>
      <c r="E10" s="49" t="str">
        <f t="shared" si="1"/>
        <v>Y</v>
      </c>
      <c r="F10" s="55">
        <v>30994.68</v>
      </c>
      <c r="G10" s="55">
        <v>6662.84</v>
      </c>
      <c r="H10" s="55">
        <v>35000</v>
      </c>
      <c r="I10" s="55">
        <v>7614.7977499999997</v>
      </c>
      <c r="J10" s="96" t="str">
        <f t="shared" si="3"/>
        <v>▲1</v>
      </c>
      <c r="K10" s="49">
        <f t="shared" si="2"/>
        <v>8</v>
      </c>
      <c r="M10" s="43" t="s">
        <v>81</v>
      </c>
    </row>
    <row r="11" spans="1:34">
      <c r="A11" s="2">
        <f t="shared" si="0"/>
        <v>8</v>
      </c>
      <c r="B11" s="53" t="s">
        <v>151</v>
      </c>
      <c r="C11" s="41" t="s">
        <v>79</v>
      </c>
      <c r="D11" s="48" t="s">
        <v>676</v>
      </c>
      <c r="E11" s="49" t="str">
        <f t="shared" si="1"/>
        <v>N</v>
      </c>
      <c r="F11" s="55">
        <v>18.260000000000002</v>
      </c>
      <c r="G11" s="55">
        <v>0</v>
      </c>
      <c r="H11" s="55">
        <v>50000</v>
      </c>
      <c r="I11" s="55">
        <v>6984.4406710000003</v>
      </c>
      <c r="J11" s="96" t="str">
        <f t="shared" si="3"/>
        <v>▲113</v>
      </c>
      <c r="K11" s="49">
        <f t="shared" si="2"/>
        <v>121</v>
      </c>
      <c r="M11" s="43" t="s">
        <v>73</v>
      </c>
      <c r="O11" s="10" t="s">
        <v>82</v>
      </c>
    </row>
    <row r="12" spans="1:34">
      <c r="A12" s="2">
        <f t="shared" si="0"/>
        <v>9</v>
      </c>
      <c r="B12" s="53" t="s">
        <v>148</v>
      </c>
      <c r="C12" s="41" t="s">
        <v>104</v>
      </c>
      <c r="D12" s="48" t="s">
        <v>676</v>
      </c>
      <c r="E12" s="49" t="str">
        <f t="shared" si="1"/>
        <v>N</v>
      </c>
      <c r="F12" s="55">
        <v>10543.26</v>
      </c>
      <c r="G12" s="55">
        <v>2370.4</v>
      </c>
      <c r="H12" s="55">
        <v>50000</v>
      </c>
      <c r="I12" s="55">
        <v>4097.2762199999997</v>
      </c>
      <c r="J12" s="96" t="str">
        <f t="shared" si="3"/>
        <v>▲7</v>
      </c>
      <c r="K12" s="49">
        <f t="shared" si="2"/>
        <v>16</v>
      </c>
      <c r="M12" s="43" t="s">
        <v>70</v>
      </c>
    </row>
    <row r="13" spans="1:34" ht="18">
      <c r="A13" s="2">
        <f t="shared" si="0"/>
        <v>10</v>
      </c>
      <c r="B13" s="53" t="s">
        <v>142</v>
      </c>
      <c r="C13" s="41" t="s">
        <v>102</v>
      </c>
      <c r="D13" s="99" t="s">
        <v>677</v>
      </c>
      <c r="E13" s="49" t="str">
        <f t="shared" si="1"/>
        <v>N</v>
      </c>
      <c r="F13" s="55">
        <v>315.79000000000002</v>
      </c>
      <c r="G13" s="55">
        <v>0</v>
      </c>
      <c r="H13" s="55">
        <v>100000</v>
      </c>
      <c r="I13" s="55">
        <v>4089.1486599999998</v>
      </c>
      <c r="J13" s="96" t="str">
        <f t="shared" si="3"/>
        <v>▲111</v>
      </c>
      <c r="K13" s="49">
        <f t="shared" si="2"/>
        <v>121</v>
      </c>
      <c r="M13" s="43" t="s">
        <v>70</v>
      </c>
      <c r="O13" s="11"/>
      <c r="P13" s="33"/>
      <c r="Q13" s="115" t="s">
        <v>83</v>
      </c>
      <c r="R13" s="116"/>
      <c r="S13" s="8" t="s">
        <v>84</v>
      </c>
      <c r="T13" s="121" t="s">
        <v>85</v>
      </c>
      <c r="U13" s="121"/>
      <c r="V13" s="3" t="s">
        <v>86</v>
      </c>
      <c r="W13" s="8" t="s">
        <v>84</v>
      </c>
      <c r="X13" s="3" t="s">
        <v>87</v>
      </c>
    </row>
    <row r="14" spans="1:34" ht="18">
      <c r="A14" s="2">
        <f t="shared" si="0"/>
        <v>11</v>
      </c>
      <c r="B14" s="53" t="s">
        <v>155</v>
      </c>
      <c r="C14" s="41" t="s">
        <v>119</v>
      </c>
      <c r="D14" s="48" t="s">
        <v>676</v>
      </c>
      <c r="E14" s="49" t="str">
        <f t="shared" si="1"/>
        <v>N</v>
      </c>
      <c r="F14" s="55">
        <v>40255.42</v>
      </c>
      <c r="G14" s="55">
        <v>9610.27</v>
      </c>
      <c r="H14" s="55">
        <v>0</v>
      </c>
      <c r="I14" s="55">
        <v>4023.7343900000001</v>
      </c>
      <c r="J14" s="96" t="str">
        <f t="shared" si="3"/>
        <v>▼6</v>
      </c>
      <c r="K14" s="49">
        <f t="shared" si="2"/>
        <v>5</v>
      </c>
      <c r="M14" s="63" t="s">
        <v>119</v>
      </c>
      <c r="O14" s="11" t="s">
        <v>88</v>
      </c>
      <c r="P14" s="34" t="s">
        <v>89</v>
      </c>
      <c r="Q14" s="117">
        <f>AG4</f>
        <v>265417</v>
      </c>
      <c r="R14" s="118"/>
      <c r="S14" s="39">
        <f>Q14/$Q$18*100</f>
        <v>46.279240887723361</v>
      </c>
      <c r="T14" s="122">
        <f>SUMIF(C:C, '26년 고객사별 예상 매출 销售预计(客户别)'!P14, I:I)</f>
        <v>109031.97669999996</v>
      </c>
      <c r="U14" s="122"/>
      <c r="V14" s="39">
        <f>T14/Q22*100</f>
        <v>23.198292914893607</v>
      </c>
      <c r="W14" s="39">
        <f>T14/$T$18*100</f>
        <v>56.858310501517487</v>
      </c>
      <c r="X14" s="39">
        <f>W14-S14</f>
        <v>10.579069613794125</v>
      </c>
    </row>
    <row r="15" spans="1:34" ht="18">
      <c r="A15" s="2">
        <f t="shared" si="0"/>
        <v>12</v>
      </c>
      <c r="B15" s="53" t="s">
        <v>154</v>
      </c>
      <c r="C15" s="41" t="s">
        <v>104</v>
      </c>
      <c r="D15" s="48" t="s">
        <v>676</v>
      </c>
      <c r="E15" s="49" t="str">
        <f t="shared" si="1"/>
        <v>N</v>
      </c>
      <c r="F15" s="55">
        <v>17704.79</v>
      </c>
      <c r="G15" s="55">
        <v>5836.88</v>
      </c>
      <c r="H15" s="55">
        <v>23000</v>
      </c>
      <c r="I15" s="55">
        <v>3410.0401499999998</v>
      </c>
      <c r="J15" s="96" t="str">
        <f t="shared" si="3"/>
        <v>▼1</v>
      </c>
      <c r="K15" s="49">
        <f t="shared" si="2"/>
        <v>11</v>
      </c>
      <c r="M15" s="63" t="s">
        <v>70</v>
      </c>
      <c r="O15" s="11" t="s">
        <v>90</v>
      </c>
      <c r="P15" s="34" t="s">
        <v>91</v>
      </c>
      <c r="Q15" s="117">
        <f t="shared" ref="Q15:Q17" si="4">AG5</f>
        <v>165302</v>
      </c>
      <c r="R15" s="118"/>
      <c r="S15" s="39">
        <f>Q15/$Q$18*100</f>
        <v>28.822762208986035</v>
      </c>
      <c r="T15" s="122">
        <f>SUMIF(C:C, '26년 고객사별 예상 매출 销售预计(客户别)'!P15, I:I)</f>
        <v>23507.825239999998</v>
      </c>
      <c r="U15" s="122"/>
      <c r="V15" s="39">
        <f>T15/Q23*100</f>
        <v>12.055294994871794</v>
      </c>
      <c r="W15" s="39">
        <f>T15/$T$18*100</f>
        <v>12.258928684646422</v>
      </c>
      <c r="X15" s="39">
        <f>W15-S15</f>
        <v>-16.563833524339614</v>
      </c>
    </row>
    <row r="16" spans="1:34" ht="18">
      <c r="A16" s="2">
        <f t="shared" si="0"/>
        <v>13</v>
      </c>
      <c r="B16" s="53" t="s">
        <v>156</v>
      </c>
      <c r="C16" s="41" t="s">
        <v>104</v>
      </c>
      <c r="D16" s="48" t="s">
        <v>676</v>
      </c>
      <c r="E16" s="49" t="str">
        <f t="shared" si="1"/>
        <v>N</v>
      </c>
      <c r="F16" s="55">
        <v>6958.83</v>
      </c>
      <c r="G16" s="55">
        <v>896.29</v>
      </c>
      <c r="H16" s="55">
        <v>15000</v>
      </c>
      <c r="I16" s="55">
        <v>3385.90038</v>
      </c>
      <c r="J16" s="96" t="str">
        <f t="shared" si="3"/>
        <v>▲19</v>
      </c>
      <c r="K16" s="49">
        <f t="shared" si="2"/>
        <v>32</v>
      </c>
      <c r="M16" s="63" t="s">
        <v>70</v>
      </c>
      <c r="O16" s="11" t="s">
        <v>92</v>
      </c>
      <c r="P16" s="34" t="s">
        <v>93</v>
      </c>
      <c r="Q16" s="117">
        <f t="shared" si="4"/>
        <v>73577</v>
      </c>
      <c r="R16" s="118"/>
      <c r="S16" s="39">
        <f>Q16/$Q$18*100</f>
        <v>12.829199737756142</v>
      </c>
      <c r="T16" s="122">
        <f>SUMIF(C:C, '26년 고객사별 예상 매출 销售预计(客户别)'!P16, I:I)</f>
        <v>23994.728141</v>
      </c>
      <c r="U16" s="122"/>
      <c r="V16" s="39">
        <f>T16/Q24*100</f>
        <v>21.813389219090908</v>
      </c>
      <c r="W16" s="39">
        <f>T16/$T$18*100</f>
        <v>12.512840217455931</v>
      </c>
      <c r="X16" s="39">
        <f>W16-S16</f>
        <v>-0.31635952030021031</v>
      </c>
    </row>
    <row r="17" spans="1:37" ht="18">
      <c r="A17" s="2">
        <f t="shared" si="0"/>
        <v>14</v>
      </c>
      <c r="B17" s="53" t="s">
        <v>158</v>
      </c>
      <c r="C17" s="41" t="s">
        <v>106</v>
      </c>
      <c r="D17" s="48" t="s">
        <v>676</v>
      </c>
      <c r="E17" s="49" t="str">
        <f t="shared" si="1"/>
        <v>N</v>
      </c>
      <c r="F17" s="55">
        <v>20159.86</v>
      </c>
      <c r="G17" s="55">
        <v>1877.28</v>
      </c>
      <c r="H17" s="55">
        <v>30000</v>
      </c>
      <c r="I17" s="55">
        <v>2803.6095399999999</v>
      </c>
      <c r="J17" s="96" t="str">
        <f t="shared" si="3"/>
        <v>▲5</v>
      </c>
      <c r="K17" s="49">
        <f t="shared" si="2"/>
        <v>19</v>
      </c>
      <c r="M17" s="43" t="s">
        <v>70</v>
      </c>
      <c r="O17" s="11" t="s">
        <v>94</v>
      </c>
      <c r="P17" s="34" t="s">
        <v>95</v>
      </c>
      <c r="Q17" s="117">
        <f t="shared" si="4"/>
        <v>69216</v>
      </c>
      <c r="R17" s="118"/>
      <c r="S17" s="39">
        <f>Q17/$Q$18*100</f>
        <v>12.068797165534463</v>
      </c>
      <c r="T17" s="122">
        <f>SUMIF(C:C, '26년 고객사별 예상 매출 销售预计(客户别)'!P17, I:I)</f>
        <v>35226.314970999993</v>
      </c>
      <c r="U17" s="122"/>
      <c r="V17" s="39">
        <f>T17/Q25*100</f>
        <v>28.181051976799992</v>
      </c>
      <c r="W17" s="39">
        <f>T17/$T$18*100</f>
        <v>18.369920596380165</v>
      </c>
      <c r="X17" s="39">
        <f>W17-S17</f>
        <v>6.3011234308457027</v>
      </c>
    </row>
    <row r="18" spans="1:37">
      <c r="A18" s="2">
        <f t="shared" si="0"/>
        <v>15</v>
      </c>
      <c r="B18" s="53" t="s">
        <v>221</v>
      </c>
      <c r="C18" s="41" t="s">
        <v>102</v>
      </c>
      <c r="D18" s="48" t="s">
        <v>676</v>
      </c>
      <c r="E18" s="49" t="str">
        <f t="shared" si="1"/>
        <v>N</v>
      </c>
      <c r="F18" s="55">
        <v>2727.06</v>
      </c>
      <c r="G18" s="55">
        <v>921.5</v>
      </c>
      <c r="H18" s="55">
        <v>0</v>
      </c>
      <c r="I18" s="55">
        <v>2794.7134000000001</v>
      </c>
      <c r="J18" s="96" t="str">
        <f t="shared" si="3"/>
        <v>▲16</v>
      </c>
      <c r="K18" s="49">
        <f t="shared" si="2"/>
        <v>31</v>
      </c>
      <c r="M18" s="43" t="s">
        <v>70</v>
      </c>
      <c r="Q18" s="119">
        <f>SUM(Q14:Q17)</f>
        <v>573512</v>
      </c>
      <c r="R18" s="120"/>
      <c r="S18" s="3"/>
      <c r="T18" s="114">
        <f>SUM(T14:T17)</f>
        <v>191760.84505199993</v>
      </c>
      <c r="U18" s="114"/>
      <c r="V18" s="3"/>
      <c r="W18" s="3"/>
      <c r="X18" s="3"/>
      <c r="AK18" t="s">
        <v>96</v>
      </c>
    </row>
    <row r="19" spans="1:37">
      <c r="A19" s="2">
        <f t="shared" si="0"/>
        <v>16</v>
      </c>
      <c r="B19" s="53" t="s">
        <v>159</v>
      </c>
      <c r="C19" s="41" t="s">
        <v>106</v>
      </c>
      <c r="D19" s="48" t="s">
        <v>676</v>
      </c>
      <c r="E19" s="49" t="str">
        <f t="shared" si="1"/>
        <v>Y</v>
      </c>
      <c r="F19" s="55">
        <v>198.03</v>
      </c>
      <c r="G19" s="55">
        <v>0.99</v>
      </c>
      <c r="H19" s="55">
        <v>0</v>
      </c>
      <c r="I19" s="55">
        <v>2681.8927899999999</v>
      </c>
      <c r="J19" s="96" t="str">
        <f t="shared" si="3"/>
        <v>▲103</v>
      </c>
      <c r="K19" s="49">
        <f t="shared" si="2"/>
        <v>119</v>
      </c>
      <c r="M19" s="43" t="s">
        <v>81</v>
      </c>
      <c r="O19" s="10" t="s">
        <v>97</v>
      </c>
      <c r="AK19" s="15" t="s">
        <v>98</v>
      </c>
    </row>
    <row r="20" spans="1:37">
      <c r="A20" s="2">
        <f t="shared" si="0"/>
        <v>17</v>
      </c>
      <c r="B20" s="53" t="s">
        <v>160</v>
      </c>
      <c r="C20" s="41" t="s">
        <v>102</v>
      </c>
      <c r="D20" s="48" t="s">
        <v>676</v>
      </c>
      <c r="E20" s="49" t="str">
        <f t="shared" si="1"/>
        <v>Y</v>
      </c>
      <c r="F20" s="55">
        <v>3361.97</v>
      </c>
      <c r="G20" s="55">
        <v>0</v>
      </c>
      <c r="H20" s="55">
        <v>20000</v>
      </c>
      <c r="I20" s="55">
        <v>2456.1448799999998</v>
      </c>
      <c r="J20" s="96" t="str">
        <f t="shared" si="3"/>
        <v>▲104</v>
      </c>
      <c r="K20" s="49">
        <f t="shared" si="2"/>
        <v>121</v>
      </c>
      <c r="M20" s="43" t="s">
        <v>81</v>
      </c>
      <c r="AK20" s="15" t="s">
        <v>99</v>
      </c>
    </row>
    <row r="21" spans="1:37" ht="18">
      <c r="A21" s="2">
        <f t="shared" si="0"/>
        <v>18</v>
      </c>
      <c r="B21" s="53" t="s">
        <v>205</v>
      </c>
      <c r="C21" s="41" t="s">
        <v>119</v>
      </c>
      <c r="D21" s="48" t="s">
        <v>676</v>
      </c>
      <c r="E21" s="49" t="str">
        <f t="shared" si="1"/>
        <v>N</v>
      </c>
      <c r="F21" s="55">
        <v>5070.66</v>
      </c>
      <c r="G21" s="55">
        <v>2485.5100000000002</v>
      </c>
      <c r="H21" s="55">
        <v>0</v>
      </c>
      <c r="I21" s="55">
        <v>2154.71783</v>
      </c>
      <c r="J21" s="96" t="str">
        <f t="shared" si="3"/>
        <v>▼4</v>
      </c>
      <c r="K21" s="49">
        <f t="shared" si="2"/>
        <v>14</v>
      </c>
      <c r="M21" s="63" t="s">
        <v>119</v>
      </c>
      <c r="O21" s="11"/>
      <c r="P21" s="12"/>
      <c r="Q21" s="8" t="s">
        <v>100</v>
      </c>
      <c r="AK21" s="15" t="s">
        <v>101</v>
      </c>
    </row>
    <row r="22" spans="1:37" ht="18">
      <c r="A22" s="2">
        <f t="shared" si="0"/>
        <v>19</v>
      </c>
      <c r="B22" s="53" t="s">
        <v>161</v>
      </c>
      <c r="C22" s="41" t="s">
        <v>104</v>
      </c>
      <c r="D22" s="48" t="s">
        <v>676</v>
      </c>
      <c r="E22" s="49" t="str">
        <f t="shared" si="1"/>
        <v>N</v>
      </c>
      <c r="F22" s="55">
        <v>19890.63</v>
      </c>
      <c r="G22" s="55">
        <v>6601.73</v>
      </c>
      <c r="H22" s="55">
        <v>20000</v>
      </c>
      <c r="I22" s="55">
        <v>1791.6230399999999</v>
      </c>
      <c r="J22" s="96" t="str">
        <f t="shared" si="3"/>
        <v>▼10</v>
      </c>
      <c r="K22" s="49">
        <f t="shared" si="2"/>
        <v>9</v>
      </c>
      <c r="M22" s="43" t="s">
        <v>70</v>
      </c>
      <c r="O22" s="11" t="s">
        <v>71</v>
      </c>
      <c r="P22" s="13" t="s">
        <v>102</v>
      </c>
      <c r="Q22" s="17">
        <v>470000</v>
      </c>
      <c r="AK22" s="15" t="s">
        <v>103</v>
      </c>
    </row>
    <row r="23" spans="1:37" ht="18">
      <c r="A23" s="2">
        <f t="shared" si="0"/>
        <v>20</v>
      </c>
      <c r="B23" s="53" t="s">
        <v>163</v>
      </c>
      <c r="C23" s="41" t="s">
        <v>104</v>
      </c>
      <c r="D23" s="48" t="s">
        <v>676</v>
      </c>
      <c r="E23" s="49" t="str">
        <f t="shared" si="1"/>
        <v>N</v>
      </c>
      <c r="F23" s="55">
        <v>35865.769999999997</v>
      </c>
      <c r="G23" s="55">
        <v>10159.780000000001</v>
      </c>
      <c r="H23" s="55">
        <v>0</v>
      </c>
      <c r="I23" s="55">
        <v>1734.2847999999999</v>
      </c>
      <c r="J23" s="96" t="str">
        <f t="shared" si="3"/>
        <v>▼16</v>
      </c>
      <c r="K23" s="49">
        <f t="shared" si="2"/>
        <v>4</v>
      </c>
      <c r="M23" s="43" t="s">
        <v>73</v>
      </c>
      <c r="O23" s="11" t="s">
        <v>74</v>
      </c>
      <c r="P23" s="13" t="s">
        <v>104</v>
      </c>
      <c r="Q23" s="17">
        <v>195000</v>
      </c>
      <c r="AK23" s="15" t="s">
        <v>105</v>
      </c>
    </row>
    <row r="24" spans="1:37" ht="18">
      <c r="A24" s="2">
        <f t="shared" si="0"/>
        <v>21</v>
      </c>
      <c r="B24" s="53" t="s">
        <v>164</v>
      </c>
      <c r="C24" s="41" t="s">
        <v>106</v>
      </c>
      <c r="D24" s="48" t="s">
        <v>676</v>
      </c>
      <c r="E24" s="49" t="str">
        <f t="shared" si="1"/>
        <v>N</v>
      </c>
      <c r="F24" s="55">
        <v>4978.51</v>
      </c>
      <c r="G24" s="55">
        <v>1280.9100000000001</v>
      </c>
      <c r="H24" s="55">
        <v>0</v>
      </c>
      <c r="I24" s="55">
        <v>1673.40263</v>
      </c>
      <c r="J24" s="96" t="str">
        <f t="shared" si="3"/>
        <v>▲2</v>
      </c>
      <c r="K24" s="49">
        <f t="shared" si="2"/>
        <v>23</v>
      </c>
      <c r="M24" s="43" t="s">
        <v>70</v>
      </c>
      <c r="O24" s="11" t="s">
        <v>76</v>
      </c>
      <c r="P24" s="13" t="s">
        <v>106</v>
      </c>
      <c r="Q24" s="17">
        <v>110000</v>
      </c>
      <c r="AK24" s="15" t="s">
        <v>107</v>
      </c>
    </row>
    <row r="25" spans="1:37" ht="18">
      <c r="A25" s="2">
        <f t="shared" si="0"/>
        <v>22</v>
      </c>
      <c r="B25" s="53" t="s">
        <v>166</v>
      </c>
      <c r="C25" s="41" t="s">
        <v>102</v>
      </c>
      <c r="D25" s="48" t="s">
        <v>676</v>
      </c>
      <c r="E25" s="49" t="str">
        <f t="shared" si="1"/>
        <v>N</v>
      </c>
      <c r="F25" s="55">
        <v>4920.3900000000003</v>
      </c>
      <c r="G25" s="55">
        <v>1388.41</v>
      </c>
      <c r="H25" s="55">
        <v>10000</v>
      </c>
      <c r="I25" s="55">
        <v>1605.9060899999999</v>
      </c>
      <c r="J25" s="96" t="str">
        <f t="shared" si="3"/>
        <v>-</v>
      </c>
      <c r="K25" s="49">
        <f t="shared" si="2"/>
        <v>22</v>
      </c>
      <c r="M25" s="43" t="s">
        <v>73</v>
      </c>
      <c r="O25" s="11" t="s">
        <v>78</v>
      </c>
      <c r="P25" s="13" t="s">
        <v>79</v>
      </c>
      <c r="Q25" s="17">
        <v>125000</v>
      </c>
      <c r="AK25" s="15" t="s">
        <v>108</v>
      </c>
    </row>
    <row r="26" spans="1:37">
      <c r="A26" s="2">
        <f t="shared" si="0"/>
        <v>23</v>
      </c>
      <c r="B26" s="53" t="s">
        <v>167</v>
      </c>
      <c r="C26" s="41" t="s">
        <v>104</v>
      </c>
      <c r="D26" s="48" t="s">
        <v>676</v>
      </c>
      <c r="E26" s="49" t="str">
        <f t="shared" si="1"/>
        <v>N</v>
      </c>
      <c r="F26" s="55">
        <v>7285.87</v>
      </c>
      <c r="G26" s="55">
        <v>4307.8599999999997</v>
      </c>
      <c r="H26" s="55">
        <v>0</v>
      </c>
      <c r="I26" s="55">
        <v>1508.5945999999999</v>
      </c>
      <c r="J26" s="96" t="str">
        <f t="shared" si="3"/>
        <v>▼11</v>
      </c>
      <c r="K26" s="49">
        <f t="shared" si="2"/>
        <v>12</v>
      </c>
      <c r="M26" s="43" t="s">
        <v>70</v>
      </c>
      <c r="Q26" s="32">
        <v>900000</v>
      </c>
      <c r="AK26" s="15" t="s">
        <v>109</v>
      </c>
    </row>
    <row r="27" spans="1:37">
      <c r="A27" s="2">
        <f t="shared" si="0"/>
        <v>24</v>
      </c>
      <c r="B27" s="53" t="s">
        <v>169</v>
      </c>
      <c r="C27" s="41" t="s">
        <v>104</v>
      </c>
      <c r="D27" s="48" t="s">
        <v>676</v>
      </c>
      <c r="E27" s="49" t="str">
        <f t="shared" si="1"/>
        <v>N</v>
      </c>
      <c r="F27" s="55">
        <v>7956.63</v>
      </c>
      <c r="G27" s="55">
        <v>2427.5100000000002</v>
      </c>
      <c r="H27" s="55">
        <v>10000</v>
      </c>
      <c r="I27" s="55">
        <v>1407.99467</v>
      </c>
      <c r="J27" s="96" t="str">
        <f t="shared" si="3"/>
        <v>▼9</v>
      </c>
      <c r="K27" s="49">
        <f t="shared" si="2"/>
        <v>15</v>
      </c>
      <c r="M27" s="63" t="s">
        <v>70</v>
      </c>
      <c r="AK27" s="15" t="s">
        <v>110</v>
      </c>
    </row>
    <row r="28" spans="1:37">
      <c r="A28" s="2">
        <f t="shared" si="0"/>
        <v>25</v>
      </c>
      <c r="B28" s="53" t="s">
        <v>170</v>
      </c>
      <c r="C28" s="41" t="s">
        <v>106</v>
      </c>
      <c r="D28" s="48" t="s">
        <v>676</v>
      </c>
      <c r="E28" s="49" t="str">
        <f t="shared" si="1"/>
        <v>N</v>
      </c>
      <c r="F28" s="55">
        <v>2861.73</v>
      </c>
      <c r="G28" s="55">
        <v>0</v>
      </c>
      <c r="H28" s="55">
        <v>0</v>
      </c>
      <c r="I28" s="55">
        <v>1317.9052999999999</v>
      </c>
      <c r="J28" s="96" t="str">
        <f t="shared" si="3"/>
        <v>▲96</v>
      </c>
      <c r="K28" s="49">
        <f t="shared" si="2"/>
        <v>121</v>
      </c>
      <c r="M28" s="43" t="s">
        <v>70</v>
      </c>
      <c r="AK28" s="15" t="s">
        <v>111</v>
      </c>
    </row>
    <row r="29" spans="1:37">
      <c r="A29" s="2">
        <f t="shared" si="0"/>
        <v>26</v>
      </c>
      <c r="B29" s="53" t="s">
        <v>171</v>
      </c>
      <c r="C29" s="41" t="s">
        <v>102</v>
      </c>
      <c r="D29" s="99" t="s">
        <v>677</v>
      </c>
      <c r="E29" s="49" t="str">
        <f t="shared" si="1"/>
        <v>N</v>
      </c>
      <c r="F29" s="55">
        <v>0</v>
      </c>
      <c r="G29" s="55">
        <v>0</v>
      </c>
      <c r="H29" s="55">
        <v>0</v>
      </c>
      <c r="I29" s="55">
        <v>1231.7753399999999</v>
      </c>
      <c r="J29" s="96" t="str">
        <f t="shared" si="3"/>
        <v>▲95</v>
      </c>
      <c r="K29" s="49">
        <f t="shared" si="2"/>
        <v>121</v>
      </c>
      <c r="M29" s="43" t="s">
        <v>70</v>
      </c>
      <c r="AK29" s="15" t="s">
        <v>112</v>
      </c>
    </row>
    <row r="30" spans="1:37">
      <c r="A30" s="2">
        <f t="shared" si="0"/>
        <v>27</v>
      </c>
      <c r="B30" s="53" t="s">
        <v>172</v>
      </c>
      <c r="C30" s="41" t="s">
        <v>104</v>
      </c>
      <c r="D30" s="48" t="s">
        <v>676</v>
      </c>
      <c r="E30" s="49" t="str">
        <f t="shared" si="1"/>
        <v>N</v>
      </c>
      <c r="F30" s="55">
        <v>6498.92</v>
      </c>
      <c r="G30" s="55">
        <v>1674.84</v>
      </c>
      <c r="H30" s="55">
        <v>7000</v>
      </c>
      <c r="I30" s="55">
        <v>1216.32546</v>
      </c>
      <c r="J30" s="96" t="str">
        <f t="shared" si="3"/>
        <v>▼7</v>
      </c>
      <c r="K30" s="49">
        <f t="shared" si="2"/>
        <v>20</v>
      </c>
      <c r="M30" s="43" t="s">
        <v>70</v>
      </c>
      <c r="AK30" s="15" t="s">
        <v>113</v>
      </c>
    </row>
    <row r="31" spans="1:37">
      <c r="A31" s="2">
        <f t="shared" si="0"/>
        <v>28</v>
      </c>
      <c r="B31" s="53" t="s">
        <v>173</v>
      </c>
      <c r="C31" s="41" t="s">
        <v>102</v>
      </c>
      <c r="D31" s="48" t="s">
        <v>676</v>
      </c>
      <c r="E31" s="49" t="str">
        <f t="shared" si="1"/>
        <v>N</v>
      </c>
      <c r="F31" s="55">
        <v>4261.25</v>
      </c>
      <c r="G31" s="55">
        <v>1116.31</v>
      </c>
      <c r="H31" s="55">
        <v>0</v>
      </c>
      <c r="I31" s="55">
        <v>1112.8484000000001</v>
      </c>
      <c r="J31" s="96" t="str">
        <f t="shared" si="3"/>
        <v>-</v>
      </c>
      <c r="K31" s="49">
        <f t="shared" si="2"/>
        <v>28</v>
      </c>
      <c r="M31" s="43" t="s">
        <v>70</v>
      </c>
      <c r="AK31" s="15" t="s">
        <v>114</v>
      </c>
    </row>
    <row r="32" spans="1:37">
      <c r="A32" s="2">
        <f t="shared" si="0"/>
        <v>29</v>
      </c>
      <c r="B32" s="53" t="s">
        <v>174</v>
      </c>
      <c r="C32" s="41" t="s">
        <v>104</v>
      </c>
      <c r="D32" s="48" t="s">
        <v>676</v>
      </c>
      <c r="E32" s="49" t="str">
        <f t="shared" si="1"/>
        <v>Y</v>
      </c>
      <c r="F32" s="55">
        <v>359.05</v>
      </c>
      <c r="G32" s="55">
        <v>0</v>
      </c>
      <c r="H32" s="55">
        <v>0</v>
      </c>
      <c r="I32" s="55">
        <v>1075.73056</v>
      </c>
      <c r="J32" s="96" t="str">
        <f t="shared" si="3"/>
        <v>▲92</v>
      </c>
      <c r="K32" s="49">
        <f t="shared" si="2"/>
        <v>121</v>
      </c>
      <c r="M32" s="43" t="s">
        <v>81</v>
      </c>
      <c r="AK32" s="15" t="s">
        <v>115</v>
      </c>
    </row>
    <row r="33" spans="1:37">
      <c r="A33" s="2">
        <f t="shared" si="0"/>
        <v>30</v>
      </c>
      <c r="B33" s="53" t="s">
        <v>175</v>
      </c>
      <c r="C33" s="41" t="s">
        <v>104</v>
      </c>
      <c r="D33" s="48" t="s">
        <v>676</v>
      </c>
      <c r="E33" s="49" t="str">
        <f t="shared" si="1"/>
        <v>N</v>
      </c>
      <c r="F33" s="55">
        <v>798.42</v>
      </c>
      <c r="G33" s="55">
        <v>622.02</v>
      </c>
      <c r="H33" s="55">
        <v>0</v>
      </c>
      <c r="I33" s="55">
        <v>1013.31718</v>
      </c>
      <c r="J33" s="96" t="str">
        <f t="shared" si="3"/>
        <v>▲10</v>
      </c>
      <c r="K33" s="49">
        <f t="shared" si="2"/>
        <v>40</v>
      </c>
      <c r="M33" s="43" t="s">
        <v>73</v>
      </c>
      <c r="AK33" s="15" t="s">
        <v>116</v>
      </c>
    </row>
    <row r="34" spans="1:37">
      <c r="A34" s="2">
        <f t="shared" si="0"/>
        <v>31</v>
      </c>
      <c r="B34" s="53" t="s">
        <v>176</v>
      </c>
      <c r="C34" s="41" t="s">
        <v>102</v>
      </c>
      <c r="D34" s="48" t="s">
        <v>676</v>
      </c>
      <c r="E34" s="49" t="str">
        <f t="shared" si="1"/>
        <v>N</v>
      </c>
      <c r="F34" s="55">
        <v>2064.79</v>
      </c>
      <c r="G34" s="55">
        <v>530.98</v>
      </c>
      <c r="H34" s="55">
        <v>0</v>
      </c>
      <c r="I34" s="55">
        <v>923.80069000000003</v>
      </c>
      <c r="J34" s="96" t="str">
        <f t="shared" si="3"/>
        <v>▲14</v>
      </c>
      <c r="K34" s="49">
        <f t="shared" si="2"/>
        <v>45</v>
      </c>
      <c r="M34" s="43" t="s">
        <v>70</v>
      </c>
      <c r="AK34" s="15" t="s">
        <v>117</v>
      </c>
    </row>
    <row r="35" spans="1:37">
      <c r="A35" s="2">
        <f t="shared" si="0"/>
        <v>32</v>
      </c>
      <c r="B35" s="53" t="s">
        <v>178</v>
      </c>
      <c r="C35" s="41" t="s">
        <v>106</v>
      </c>
      <c r="D35" s="48" t="s">
        <v>676</v>
      </c>
      <c r="E35" s="49" t="str">
        <f t="shared" si="1"/>
        <v>N</v>
      </c>
      <c r="F35" s="55">
        <v>512.79999999999995</v>
      </c>
      <c r="G35" s="55">
        <v>123.15</v>
      </c>
      <c r="H35" s="55">
        <v>0</v>
      </c>
      <c r="I35" s="55">
        <v>891.75855999999999</v>
      </c>
      <c r="J35" s="96" t="str">
        <f t="shared" si="3"/>
        <v>▲56</v>
      </c>
      <c r="K35" s="49">
        <f t="shared" si="2"/>
        <v>88</v>
      </c>
      <c r="M35" s="43" t="s">
        <v>73</v>
      </c>
      <c r="AK35" s="15" t="s">
        <v>118</v>
      </c>
    </row>
    <row r="36" spans="1:37">
      <c r="A36" s="2">
        <f t="shared" si="0"/>
        <v>33</v>
      </c>
      <c r="B36" s="53" t="s">
        <v>204</v>
      </c>
      <c r="C36" s="41" t="s">
        <v>102</v>
      </c>
      <c r="D36" s="48" t="s">
        <v>676</v>
      </c>
      <c r="E36" s="49" t="str">
        <f t="shared" si="1"/>
        <v>N</v>
      </c>
      <c r="F36" s="55">
        <v>6751.84</v>
      </c>
      <c r="G36" s="55">
        <v>3554.26</v>
      </c>
      <c r="H36" s="55">
        <v>10000</v>
      </c>
      <c r="I36" s="55">
        <v>792.31650999999999</v>
      </c>
      <c r="J36" s="96" t="str">
        <f t="shared" si="3"/>
        <v>▼20</v>
      </c>
      <c r="K36" s="49">
        <f t="shared" si="2"/>
        <v>13</v>
      </c>
      <c r="M36" s="43" t="s">
        <v>70</v>
      </c>
    </row>
    <row r="37" spans="1:37">
      <c r="A37" s="2">
        <f t="shared" si="0"/>
        <v>34</v>
      </c>
      <c r="B37" s="53" t="s">
        <v>122</v>
      </c>
      <c r="C37" s="41" t="s">
        <v>102</v>
      </c>
      <c r="D37" s="48" t="s">
        <v>676</v>
      </c>
      <c r="E37" s="49" t="str">
        <f t="shared" si="1"/>
        <v>N</v>
      </c>
      <c r="F37" s="55">
        <v>546.74</v>
      </c>
      <c r="G37" s="55">
        <v>165.84</v>
      </c>
      <c r="H37" s="55">
        <v>10000</v>
      </c>
      <c r="I37" s="55">
        <v>773.74414999999999</v>
      </c>
      <c r="J37" s="96" t="str">
        <f t="shared" si="3"/>
        <v>▲47</v>
      </c>
      <c r="K37" s="49">
        <f t="shared" si="2"/>
        <v>81</v>
      </c>
      <c r="M37" s="43" t="s">
        <v>73</v>
      </c>
    </row>
    <row r="38" spans="1:37">
      <c r="A38" s="2">
        <f t="shared" si="0"/>
        <v>35</v>
      </c>
      <c r="B38" s="53" t="s">
        <v>456</v>
      </c>
      <c r="C38" s="41" t="s">
        <v>102</v>
      </c>
      <c r="D38" s="99" t="s">
        <v>677</v>
      </c>
      <c r="E38" s="49" t="str">
        <f t="shared" si="1"/>
        <v>N</v>
      </c>
      <c r="F38" s="55">
        <v>0</v>
      </c>
      <c r="G38" s="55">
        <v>0</v>
      </c>
      <c r="H38" s="55">
        <v>0</v>
      </c>
      <c r="I38" s="55">
        <v>754.05646000000002</v>
      </c>
      <c r="J38" s="96" t="str">
        <f t="shared" si="3"/>
        <v>▲86</v>
      </c>
      <c r="K38" s="49">
        <f t="shared" si="2"/>
        <v>121</v>
      </c>
      <c r="M38" s="43" t="s">
        <v>73</v>
      </c>
    </row>
    <row r="39" spans="1:37">
      <c r="A39" s="2">
        <f t="shared" si="0"/>
        <v>36</v>
      </c>
      <c r="B39" s="53" t="s">
        <v>233</v>
      </c>
      <c r="C39" s="41" t="s">
        <v>102</v>
      </c>
      <c r="D39" s="48" t="s">
        <v>676</v>
      </c>
      <c r="E39" s="49" t="str">
        <f t="shared" si="1"/>
        <v>N</v>
      </c>
      <c r="F39" s="55">
        <v>2268.8200000000002</v>
      </c>
      <c r="G39" s="55">
        <v>309.61</v>
      </c>
      <c r="H39" s="55">
        <v>0</v>
      </c>
      <c r="I39" s="55">
        <v>742.75431000000003</v>
      </c>
      <c r="J39" s="96" t="str">
        <f t="shared" si="3"/>
        <v>▲21</v>
      </c>
      <c r="K39" s="49">
        <f t="shared" si="2"/>
        <v>57</v>
      </c>
      <c r="M39" s="43" t="s">
        <v>70</v>
      </c>
    </row>
    <row r="40" spans="1:37">
      <c r="A40" s="2">
        <f t="shared" si="0"/>
        <v>37</v>
      </c>
      <c r="B40" s="53" t="s">
        <v>225</v>
      </c>
      <c r="C40" s="41" t="s">
        <v>102</v>
      </c>
      <c r="D40" s="48" t="s">
        <v>676</v>
      </c>
      <c r="E40" s="49" t="str">
        <f t="shared" si="1"/>
        <v>N</v>
      </c>
      <c r="F40" s="55">
        <v>2634.59</v>
      </c>
      <c r="G40" s="55">
        <v>781.96</v>
      </c>
      <c r="H40" s="55">
        <v>0</v>
      </c>
      <c r="I40" s="55">
        <v>711.80253000000005</v>
      </c>
      <c r="J40" s="96" t="str">
        <f t="shared" si="3"/>
        <v>▼1</v>
      </c>
      <c r="K40" s="49">
        <f t="shared" si="2"/>
        <v>36</v>
      </c>
      <c r="M40" s="43" t="s">
        <v>70</v>
      </c>
    </row>
    <row r="41" spans="1:37">
      <c r="A41" s="2">
        <f t="shared" si="0"/>
        <v>38</v>
      </c>
      <c r="B41" s="53" t="s">
        <v>108</v>
      </c>
      <c r="C41" s="41" t="s">
        <v>102</v>
      </c>
      <c r="D41" s="100" t="s">
        <v>677</v>
      </c>
      <c r="E41" s="49" t="str">
        <f t="shared" si="1"/>
        <v>N</v>
      </c>
      <c r="F41" s="55">
        <v>0</v>
      </c>
      <c r="G41" s="55">
        <v>0</v>
      </c>
      <c r="H41" s="55">
        <v>0</v>
      </c>
      <c r="I41" s="55">
        <v>710.81695000000002</v>
      </c>
      <c r="J41" s="96" t="str">
        <f t="shared" si="3"/>
        <v>▲83</v>
      </c>
      <c r="K41" s="49">
        <f t="shared" si="2"/>
        <v>121</v>
      </c>
      <c r="M41" s="43" t="s">
        <v>70</v>
      </c>
    </row>
    <row r="42" spans="1:37">
      <c r="A42" s="2">
        <f t="shared" si="0"/>
        <v>39</v>
      </c>
      <c r="B42" s="53" t="s">
        <v>265</v>
      </c>
      <c r="C42" s="41" t="s">
        <v>106</v>
      </c>
      <c r="D42" s="48" t="s">
        <v>676</v>
      </c>
      <c r="E42" s="49" t="str">
        <f t="shared" si="1"/>
        <v>N</v>
      </c>
      <c r="F42" s="55">
        <v>1047.1199999999999</v>
      </c>
      <c r="G42" s="55">
        <v>472.46</v>
      </c>
      <c r="H42" s="55">
        <v>0</v>
      </c>
      <c r="I42" s="55">
        <v>705.22026000000005</v>
      </c>
      <c r="J42" s="96" t="str">
        <f t="shared" si="3"/>
        <v>▲10</v>
      </c>
      <c r="K42" s="49">
        <f t="shared" si="2"/>
        <v>49</v>
      </c>
      <c r="M42" s="43" t="s">
        <v>70</v>
      </c>
    </row>
    <row r="43" spans="1:37">
      <c r="A43" s="2">
        <f t="shared" si="0"/>
        <v>40</v>
      </c>
      <c r="B43" s="53" t="s">
        <v>244</v>
      </c>
      <c r="C43" s="41" t="s">
        <v>106</v>
      </c>
      <c r="D43" s="48" t="s">
        <v>676</v>
      </c>
      <c r="E43" s="49" t="str">
        <f t="shared" si="1"/>
        <v>N</v>
      </c>
      <c r="F43" s="55">
        <v>1840.54</v>
      </c>
      <c r="G43" s="55">
        <v>662.82</v>
      </c>
      <c r="H43" s="55">
        <v>0</v>
      </c>
      <c r="I43" s="55">
        <v>659.27572999999995</v>
      </c>
      <c r="J43" s="96" t="str">
        <f t="shared" si="3"/>
        <v>▼2</v>
      </c>
      <c r="K43" s="49">
        <f t="shared" si="2"/>
        <v>38</v>
      </c>
      <c r="M43" s="43" t="s">
        <v>70</v>
      </c>
    </row>
    <row r="44" spans="1:37">
      <c r="A44" s="2">
        <f t="shared" si="0"/>
        <v>41</v>
      </c>
      <c r="B44" s="53" t="s">
        <v>275</v>
      </c>
      <c r="C44" s="41" t="s">
        <v>102</v>
      </c>
      <c r="D44" s="48" t="s">
        <v>676</v>
      </c>
      <c r="E44" s="49" t="str">
        <f t="shared" si="1"/>
        <v>N</v>
      </c>
      <c r="F44" s="55">
        <v>842.71</v>
      </c>
      <c r="G44" s="55">
        <v>0</v>
      </c>
      <c r="H44" s="55">
        <v>0</v>
      </c>
      <c r="I44" s="55">
        <v>649.31276000000003</v>
      </c>
      <c r="J44" s="96" t="str">
        <f t="shared" si="3"/>
        <v>▲80</v>
      </c>
      <c r="K44" s="49">
        <f t="shared" si="2"/>
        <v>121</v>
      </c>
      <c r="M44" s="43" t="s">
        <v>70</v>
      </c>
    </row>
    <row r="45" spans="1:37">
      <c r="A45" s="2">
        <f t="shared" si="0"/>
        <v>42</v>
      </c>
      <c r="B45" s="53" t="s">
        <v>213</v>
      </c>
      <c r="C45" s="41" t="s">
        <v>102</v>
      </c>
      <c r="D45" s="48" t="s">
        <v>676</v>
      </c>
      <c r="E45" s="49" t="str">
        <f t="shared" si="1"/>
        <v>Y</v>
      </c>
      <c r="F45" s="55">
        <v>3911.13</v>
      </c>
      <c r="G45" s="55">
        <v>477.88</v>
      </c>
      <c r="H45" s="55">
        <v>0</v>
      </c>
      <c r="I45" s="55">
        <v>648.44978000000003</v>
      </c>
      <c r="J45" s="96" t="str">
        <f t="shared" si="3"/>
        <v>▲6</v>
      </c>
      <c r="K45" s="49">
        <f t="shared" si="2"/>
        <v>48</v>
      </c>
      <c r="M45" s="43" t="s">
        <v>81</v>
      </c>
    </row>
    <row r="46" spans="1:37">
      <c r="A46" s="2">
        <f t="shared" si="0"/>
        <v>43</v>
      </c>
      <c r="B46" s="53" t="s">
        <v>211</v>
      </c>
      <c r="C46" s="41" t="s">
        <v>106</v>
      </c>
      <c r="D46" s="48" t="s">
        <v>676</v>
      </c>
      <c r="E46" s="49" t="str">
        <f t="shared" si="1"/>
        <v>N</v>
      </c>
      <c r="F46" s="55">
        <v>4007.32</v>
      </c>
      <c r="G46" s="55">
        <v>1206.97</v>
      </c>
      <c r="H46" s="55">
        <v>0</v>
      </c>
      <c r="I46" s="55">
        <v>625.92646100000002</v>
      </c>
      <c r="J46" s="96" t="str">
        <f t="shared" si="3"/>
        <v>▼17</v>
      </c>
      <c r="K46" s="49">
        <f t="shared" si="2"/>
        <v>26</v>
      </c>
      <c r="M46" s="43" t="s">
        <v>70</v>
      </c>
    </row>
    <row r="47" spans="1:37">
      <c r="A47" s="2">
        <f t="shared" si="0"/>
        <v>44</v>
      </c>
      <c r="B47" s="53" t="s">
        <v>218</v>
      </c>
      <c r="C47" s="41" t="s">
        <v>106</v>
      </c>
      <c r="D47" s="48" t="s">
        <v>676</v>
      </c>
      <c r="E47" s="49" t="str">
        <f t="shared" si="1"/>
        <v>N</v>
      </c>
      <c r="F47" s="55">
        <v>3227.61</v>
      </c>
      <c r="G47" s="55">
        <v>1056.56</v>
      </c>
      <c r="H47" s="55">
        <v>0</v>
      </c>
      <c r="I47" s="55">
        <v>621.88651000000004</v>
      </c>
      <c r="J47" s="96" t="str">
        <f t="shared" si="3"/>
        <v>▼15</v>
      </c>
      <c r="K47" s="49">
        <f t="shared" si="2"/>
        <v>29</v>
      </c>
      <c r="M47" s="43" t="s">
        <v>70</v>
      </c>
    </row>
    <row r="48" spans="1:37">
      <c r="A48" s="2">
        <f t="shared" si="0"/>
        <v>45</v>
      </c>
      <c r="B48" s="53" t="s">
        <v>120</v>
      </c>
      <c r="C48" s="41" t="s">
        <v>102</v>
      </c>
      <c r="D48" s="48" t="s">
        <v>676</v>
      </c>
      <c r="E48" s="49" t="str">
        <f t="shared" si="1"/>
        <v>N</v>
      </c>
      <c r="F48" s="55">
        <v>4928.8599999999997</v>
      </c>
      <c r="G48" s="55">
        <v>1444.1</v>
      </c>
      <c r="H48" s="55">
        <v>20000</v>
      </c>
      <c r="I48" s="55">
        <v>621.25343999999996</v>
      </c>
      <c r="J48" s="96" t="str">
        <f t="shared" si="3"/>
        <v>▼24</v>
      </c>
      <c r="K48" s="49">
        <f t="shared" si="2"/>
        <v>21</v>
      </c>
      <c r="M48" s="43" t="s">
        <v>70</v>
      </c>
    </row>
    <row r="49" spans="1:13">
      <c r="A49" s="2">
        <f t="shared" si="0"/>
        <v>46</v>
      </c>
      <c r="B49" s="53" t="s">
        <v>223</v>
      </c>
      <c r="C49" s="41" t="s">
        <v>106</v>
      </c>
      <c r="D49" s="48" t="s">
        <v>676</v>
      </c>
      <c r="E49" s="49" t="str">
        <f t="shared" si="1"/>
        <v>Y</v>
      </c>
      <c r="F49" s="55">
        <v>2639.27</v>
      </c>
      <c r="G49" s="55">
        <v>558.53</v>
      </c>
      <c r="H49" s="55">
        <v>0</v>
      </c>
      <c r="I49" s="55">
        <v>619.50549000000001</v>
      </c>
      <c r="J49" s="96" t="str">
        <f t="shared" si="3"/>
        <v>▼3</v>
      </c>
      <c r="K49" s="49">
        <f t="shared" si="2"/>
        <v>43</v>
      </c>
      <c r="M49" s="63" t="s">
        <v>81</v>
      </c>
    </row>
    <row r="50" spans="1:13">
      <c r="A50" s="2">
        <f t="shared" si="0"/>
        <v>47</v>
      </c>
      <c r="B50" s="53" t="s">
        <v>202</v>
      </c>
      <c r="C50" s="41" t="s">
        <v>104</v>
      </c>
      <c r="D50" s="48" t="s">
        <v>676</v>
      </c>
      <c r="E50" s="49" t="str">
        <f t="shared" si="1"/>
        <v>N</v>
      </c>
      <c r="F50" s="55">
        <v>7375.04</v>
      </c>
      <c r="G50" s="55">
        <v>1887.86</v>
      </c>
      <c r="H50" s="55">
        <v>0</v>
      </c>
      <c r="I50" s="55">
        <v>615.00564999999995</v>
      </c>
      <c r="J50" s="96" t="str">
        <f t="shared" si="3"/>
        <v>▼29</v>
      </c>
      <c r="K50" s="49">
        <f t="shared" si="2"/>
        <v>18</v>
      </c>
      <c r="M50" s="43" t="s">
        <v>73</v>
      </c>
    </row>
    <row r="51" spans="1:13">
      <c r="A51" s="2">
        <f t="shared" si="0"/>
        <v>48</v>
      </c>
      <c r="B51" s="53" t="s">
        <v>98</v>
      </c>
      <c r="C51" s="41" t="s">
        <v>104</v>
      </c>
      <c r="D51" s="100" t="s">
        <v>677</v>
      </c>
      <c r="E51" s="49" t="str">
        <f t="shared" si="1"/>
        <v>N</v>
      </c>
      <c r="F51" s="55">
        <v>0</v>
      </c>
      <c r="G51" s="55">
        <v>0</v>
      </c>
      <c r="H51" s="55">
        <v>20000</v>
      </c>
      <c r="I51" s="55">
        <v>546.55611999999996</v>
      </c>
      <c r="J51" s="96" t="str">
        <f t="shared" si="3"/>
        <v>▲73</v>
      </c>
      <c r="K51" s="49">
        <f t="shared" si="2"/>
        <v>121</v>
      </c>
      <c r="M51" s="63" t="s">
        <v>70</v>
      </c>
    </row>
    <row r="52" spans="1:13">
      <c r="A52" s="2">
        <f t="shared" si="0"/>
        <v>49</v>
      </c>
      <c r="B52" s="53" t="s">
        <v>237</v>
      </c>
      <c r="C52" s="41" t="s">
        <v>104</v>
      </c>
      <c r="D52" s="48" t="s">
        <v>676</v>
      </c>
      <c r="E52" s="49" t="str">
        <f t="shared" si="1"/>
        <v>N</v>
      </c>
      <c r="F52" s="55">
        <v>2121.8000000000002</v>
      </c>
      <c r="G52" s="55">
        <v>810.88</v>
      </c>
      <c r="H52" s="55">
        <v>0</v>
      </c>
      <c r="I52" s="55">
        <v>504.90992</v>
      </c>
      <c r="J52" s="96" t="str">
        <f t="shared" si="3"/>
        <v>▼14</v>
      </c>
      <c r="K52" s="49">
        <f t="shared" si="2"/>
        <v>35</v>
      </c>
      <c r="M52" s="43" t="s">
        <v>70</v>
      </c>
    </row>
    <row r="53" spans="1:13">
      <c r="A53" s="2">
        <f t="shared" si="0"/>
        <v>50</v>
      </c>
      <c r="B53" s="53" t="s">
        <v>251</v>
      </c>
      <c r="C53" s="41" t="s">
        <v>102</v>
      </c>
      <c r="D53" s="48" t="s">
        <v>676</v>
      </c>
      <c r="E53" s="49" t="str">
        <f t="shared" si="1"/>
        <v>Y</v>
      </c>
      <c r="F53" s="55">
        <v>1538.31</v>
      </c>
      <c r="G53" s="55">
        <v>244.13</v>
      </c>
      <c r="H53" s="55">
        <v>0</v>
      </c>
      <c r="I53" s="55">
        <v>484.74338</v>
      </c>
      <c r="J53" s="96" t="str">
        <f t="shared" si="3"/>
        <v>▲12</v>
      </c>
      <c r="K53" s="49">
        <f t="shared" si="2"/>
        <v>62</v>
      </c>
      <c r="M53" s="43" t="s">
        <v>81</v>
      </c>
    </row>
    <row r="54" spans="1:13">
      <c r="A54" s="2">
        <f t="shared" si="0"/>
        <v>51</v>
      </c>
      <c r="B54" s="53" t="s">
        <v>229</v>
      </c>
      <c r="C54" s="41" t="s">
        <v>102</v>
      </c>
      <c r="D54" s="48" t="s">
        <v>676</v>
      </c>
      <c r="E54" s="49" t="str">
        <f t="shared" si="1"/>
        <v>N</v>
      </c>
      <c r="F54" s="55">
        <v>2536.0100000000002</v>
      </c>
      <c r="G54" s="55">
        <v>505.82</v>
      </c>
      <c r="H54" s="55">
        <v>0</v>
      </c>
      <c r="I54" s="55">
        <v>454.39319999999998</v>
      </c>
      <c r="J54" s="96" t="str">
        <f t="shared" si="3"/>
        <v>▼5</v>
      </c>
      <c r="K54" s="49">
        <f t="shared" si="2"/>
        <v>46</v>
      </c>
      <c r="M54" s="43" t="s">
        <v>70</v>
      </c>
    </row>
    <row r="55" spans="1:13">
      <c r="A55" s="2">
        <f t="shared" si="0"/>
        <v>52</v>
      </c>
      <c r="B55" s="53" t="s">
        <v>255</v>
      </c>
      <c r="C55" s="41" t="s">
        <v>102</v>
      </c>
      <c r="D55" s="48" t="s">
        <v>676</v>
      </c>
      <c r="E55" s="49" t="str">
        <f t="shared" si="1"/>
        <v>Y</v>
      </c>
      <c r="F55" s="55">
        <v>1473.23</v>
      </c>
      <c r="G55" s="55">
        <v>0</v>
      </c>
      <c r="H55" s="55">
        <v>0</v>
      </c>
      <c r="I55" s="55">
        <v>452.84003999999999</v>
      </c>
      <c r="J55" s="96" t="str">
        <f t="shared" si="3"/>
        <v>▲69</v>
      </c>
      <c r="K55" s="49">
        <f t="shared" si="2"/>
        <v>121</v>
      </c>
      <c r="M55" s="63" t="s">
        <v>81</v>
      </c>
    </row>
    <row r="56" spans="1:13">
      <c r="A56" s="2">
        <f t="shared" si="0"/>
        <v>53</v>
      </c>
      <c r="B56" s="53" t="s">
        <v>248</v>
      </c>
      <c r="C56" s="41" t="s">
        <v>106</v>
      </c>
      <c r="D56" s="48" t="s">
        <v>676</v>
      </c>
      <c r="E56" s="49" t="str">
        <f t="shared" si="1"/>
        <v>N</v>
      </c>
      <c r="F56" s="55">
        <v>1673.61</v>
      </c>
      <c r="G56" s="55">
        <v>373.69</v>
      </c>
      <c r="H56" s="55">
        <v>0</v>
      </c>
      <c r="I56" s="55">
        <v>434.85401000000002</v>
      </c>
      <c r="J56" s="96" t="str">
        <f t="shared" si="3"/>
        <v>▼3</v>
      </c>
      <c r="K56" s="49">
        <f t="shared" si="2"/>
        <v>50</v>
      </c>
      <c r="M56" s="43" t="s">
        <v>70</v>
      </c>
    </row>
    <row r="57" spans="1:13">
      <c r="A57" s="2">
        <f t="shared" si="0"/>
        <v>54</v>
      </c>
      <c r="B57" s="53" t="s">
        <v>261</v>
      </c>
      <c r="C57" s="41" t="s">
        <v>102</v>
      </c>
      <c r="D57" s="48" t="s">
        <v>676</v>
      </c>
      <c r="E57" s="49" t="str">
        <f t="shared" si="1"/>
        <v>N</v>
      </c>
      <c r="F57" s="55">
        <v>1166.3499999999999</v>
      </c>
      <c r="G57" s="55">
        <v>93.68</v>
      </c>
      <c r="H57" s="55">
        <v>10000</v>
      </c>
      <c r="I57" s="55">
        <v>397.56184000000002</v>
      </c>
      <c r="J57" s="96" t="str">
        <f t="shared" si="3"/>
        <v>▲40</v>
      </c>
      <c r="K57" s="49">
        <f t="shared" si="2"/>
        <v>94</v>
      </c>
      <c r="M57" s="43" t="s">
        <v>70</v>
      </c>
    </row>
    <row r="58" spans="1:13">
      <c r="A58" s="2">
        <f t="shared" si="0"/>
        <v>55</v>
      </c>
      <c r="B58" s="53" t="s">
        <v>337</v>
      </c>
      <c r="C58" s="41" t="s">
        <v>102</v>
      </c>
      <c r="D58" s="48" t="s">
        <v>676</v>
      </c>
      <c r="E58" s="49" t="str">
        <f t="shared" si="1"/>
        <v>N</v>
      </c>
      <c r="F58" s="55">
        <v>310.64999999999998</v>
      </c>
      <c r="G58" s="55">
        <v>184.98</v>
      </c>
      <c r="H58" s="55">
        <v>0</v>
      </c>
      <c r="I58" s="55">
        <v>385.17257999999998</v>
      </c>
      <c r="J58" s="96" t="str">
        <f t="shared" si="3"/>
        <v>▲21</v>
      </c>
      <c r="K58" s="49">
        <f t="shared" si="2"/>
        <v>76</v>
      </c>
      <c r="M58" s="43" t="s">
        <v>73</v>
      </c>
    </row>
    <row r="59" spans="1:13">
      <c r="A59" s="2">
        <f t="shared" si="0"/>
        <v>56</v>
      </c>
      <c r="B59" s="53" t="s">
        <v>511</v>
      </c>
      <c r="C59" s="41" t="s">
        <v>102</v>
      </c>
      <c r="D59" s="48" t="s">
        <v>676</v>
      </c>
      <c r="E59" s="49" t="str">
        <f t="shared" si="1"/>
        <v>N</v>
      </c>
      <c r="F59" s="55">
        <v>0</v>
      </c>
      <c r="G59" s="55">
        <v>0</v>
      </c>
      <c r="H59" s="55">
        <v>0</v>
      </c>
      <c r="I59" s="55">
        <v>383.06240000000003</v>
      </c>
      <c r="J59" s="96" t="str">
        <f t="shared" si="3"/>
        <v>▲65</v>
      </c>
      <c r="K59" s="49">
        <f t="shared" si="2"/>
        <v>121</v>
      </c>
      <c r="M59" s="63" t="s">
        <v>70</v>
      </c>
    </row>
    <row r="60" spans="1:13">
      <c r="A60" s="2">
        <f t="shared" si="0"/>
        <v>57</v>
      </c>
      <c r="B60" s="53" t="s">
        <v>240</v>
      </c>
      <c r="C60" s="41" t="s">
        <v>102</v>
      </c>
      <c r="D60" s="48" t="s">
        <v>676</v>
      </c>
      <c r="E60" s="49" t="str">
        <f t="shared" si="1"/>
        <v>N</v>
      </c>
      <c r="F60" s="55">
        <v>1969.02</v>
      </c>
      <c r="G60" s="55">
        <v>879.67</v>
      </c>
      <c r="H60" s="55">
        <v>0</v>
      </c>
      <c r="I60" s="55">
        <v>337.44074999999998</v>
      </c>
      <c r="J60" s="96" t="str">
        <f t="shared" si="3"/>
        <v>▼24</v>
      </c>
      <c r="K60" s="49">
        <f t="shared" si="2"/>
        <v>33</v>
      </c>
      <c r="M60" s="43" t="s">
        <v>70</v>
      </c>
    </row>
    <row r="61" spans="1:13">
      <c r="A61" s="2">
        <f t="shared" si="0"/>
        <v>58</v>
      </c>
      <c r="B61" s="53" t="s">
        <v>103</v>
      </c>
      <c r="C61" s="41" t="s">
        <v>102</v>
      </c>
      <c r="D61" s="100" t="s">
        <v>677</v>
      </c>
      <c r="E61" s="49" t="str">
        <f t="shared" si="1"/>
        <v>N</v>
      </c>
      <c r="F61" s="55">
        <v>0</v>
      </c>
      <c r="G61" s="55">
        <v>0</v>
      </c>
      <c r="H61" s="55">
        <v>0</v>
      </c>
      <c r="I61" s="55">
        <v>332.7</v>
      </c>
      <c r="J61" s="96" t="str">
        <f t="shared" si="3"/>
        <v>▲63</v>
      </c>
      <c r="K61" s="49">
        <f t="shared" si="2"/>
        <v>121</v>
      </c>
      <c r="M61" s="43" t="s">
        <v>70</v>
      </c>
    </row>
    <row r="62" spans="1:13">
      <c r="A62" s="2">
        <f t="shared" si="0"/>
        <v>59</v>
      </c>
      <c r="B62" s="53" t="s">
        <v>308</v>
      </c>
      <c r="C62" s="41" t="s">
        <v>106</v>
      </c>
      <c r="D62" s="48" t="s">
        <v>676</v>
      </c>
      <c r="E62" s="49" t="str">
        <f t="shared" si="1"/>
        <v>N</v>
      </c>
      <c r="F62" s="55">
        <v>503.74</v>
      </c>
      <c r="G62" s="55">
        <v>149.25</v>
      </c>
      <c r="H62" s="55">
        <v>0</v>
      </c>
      <c r="I62" s="55">
        <v>311.41311999999999</v>
      </c>
      <c r="J62" s="96" t="str">
        <f t="shared" si="3"/>
        <v>▲26</v>
      </c>
      <c r="K62" s="49">
        <f t="shared" si="2"/>
        <v>85</v>
      </c>
      <c r="M62" s="43" t="s">
        <v>73</v>
      </c>
    </row>
    <row r="63" spans="1:13">
      <c r="A63" s="2">
        <f t="shared" si="0"/>
        <v>60</v>
      </c>
      <c r="B63" s="53" t="s">
        <v>236</v>
      </c>
      <c r="C63" s="41" t="s">
        <v>102</v>
      </c>
      <c r="D63" s="48" t="s">
        <v>676</v>
      </c>
      <c r="E63" s="49" t="str">
        <f t="shared" si="1"/>
        <v>N</v>
      </c>
      <c r="F63" s="55">
        <v>2218.8200000000002</v>
      </c>
      <c r="G63" s="55">
        <v>311.37</v>
      </c>
      <c r="H63" s="55">
        <v>0</v>
      </c>
      <c r="I63" s="55">
        <v>308.04991999999999</v>
      </c>
      <c r="J63" s="96" t="str">
        <f t="shared" si="3"/>
        <v>▼4</v>
      </c>
      <c r="K63" s="49">
        <f t="shared" si="2"/>
        <v>56</v>
      </c>
      <c r="M63" s="43" t="s">
        <v>73</v>
      </c>
    </row>
    <row r="64" spans="1:13">
      <c r="A64" s="2">
        <f t="shared" si="0"/>
        <v>61</v>
      </c>
      <c r="B64" s="53" t="s">
        <v>271</v>
      </c>
      <c r="C64" s="41" t="s">
        <v>106</v>
      </c>
      <c r="D64" s="48" t="s">
        <v>676</v>
      </c>
      <c r="E64" s="49" t="str">
        <f t="shared" si="1"/>
        <v>N</v>
      </c>
      <c r="F64" s="55">
        <v>903.43</v>
      </c>
      <c r="G64" s="55">
        <v>220.4</v>
      </c>
      <c r="H64" s="55">
        <v>0</v>
      </c>
      <c r="I64" s="55">
        <v>307.55023999999997</v>
      </c>
      <c r="J64" s="96" t="str">
        <f t="shared" si="3"/>
        <v>▲5</v>
      </c>
      <c r="K64" s="49">
        <f t="shared" si="2"/>
        <v>66</v>
      </c>
      <c r="M64" s="43" t="s">
        <v>70</v>
      </c>
    </row>
    <row r="65" spans="1:13">
      <c r="A65" s="2">
        <f t="shared" si="0"/>
        <v>62</v>
      </c>
      <c r="B65" s="53" t="s">
        <v>247</v>
      </c>
      <c r="C65" s="41" t="s">
        <v>104</v>
      </c>
      <c r="D65" s="48" t="s">
        <v>676</v>
      </c>
      <c r="E65" s="49" t="str">
        <f t="shared" si="1"/>
        <v>N</v>
      </c>
      <c r="F65" s="55">
        <v>1711.58</v>
      </c>
      <c r="G65" s="55">
        <v>1144.72</v>
      </c>
      <c r="H65" s="55">
        <v>0</v>
      </c>
      <c r="I65" s="55">
        <v>291.92916000000002</v>
      </c>
      <c r="J65" s="96" t="str">
        <f t="shared" si="3"/>
        <v>▼35</v>
      </c>
      <c r="K65" s="49">
        <f t="shared" si="2"/>
        <v>27</v>
      </c>
      <c r="M65" s="43" t="s">
        <v>73</v>
      </c>
    </row>
    <row r="66" spans="1:13">
      <c r="A66" s="2">
        <f t="shared" si="0"/>
        <v>63</v>
      </c>
      <c r="B66" s="53" t="s">
        <v>127</v>
      </c>
      <c r="C66" s="41" t="s">
        <v>102</v>
      </c>
      <c r="D66" s="99" t="s">
        <v>677</v>
      </c>
      <c r="E66" s="49" t="str">
        <f t="shared" si="1"/>
        <v>N</v>
      </c>
      <c r="F66" s="55">
        <v>0</v>
      </c>
      <c r="G66" s="55">
        <v>0</v>
      </c>
      <c r="H66" s="55">
        <v>10000</v>
      </c>
      <c r="I66" s="55">
        <v>273.93525</v>
      </c>
      <c r="J66" s="96" t="str">
        <f t="shared" si="3"/>
        <v>▲58</v>
      </c>
      <c r="K66" s="49">
        <f t="shared" si="2"/>
        <v>121</v>
      </c>
      <c r="M66" s="43" t="s">
        <v>70</v>
      </c>
    </row>
    <row r="67" spans="1:13">
      <c r="A67" s="2">
        <f t="shared" si="0"/>
        <v>64</v>
      </c>
      <c r="B67" s="53" t="s">
        <v>227</v>
      </c>
      <c r="C67" s="41" t="s">
        <v>106</v>
      </c>
      <c r="D67" s="48" t="s">
        <v>676</v>
      </c>
      <c r="E67" s="49" t="str">
        <f t="shared" si="1"/>
        <v>N</v>
      </c>
      <c r="F67" s="55">
        <v>2564.0700000000002</v>
      </c>
      <c r="G67" s="55">
        <v>608.37</v>
      </c>
      <c r="H67" s="55">
        <v>0</v>
      </c>
      <c r="I67" s="55">
        <v>272.74867</v>
      </c>
      <c r="J67" s="96" t="str">
        <f t="shared" si="3"/>
        <v>▼23</v>
      </c>
      <c r="K67" s="49">
        <f t="shared" si="2"/>
        <v>41</v>
      </c>
      <c r="M67" s="63" t="s">
        <v>70</v>
      </c>
    </row>
    <row r="68" spans="1:13">
      <c r="A68" s="2">
        <f t="shared" ref="A68:A131" si="5">RANK(I68,$I$4:$I$999)</f>
        <v>65</v>
      </c>
      <c r="B68" s="53" t="s">
        <v>672</v>
      </c>
      <c r="C68" s="41" t="s">
        <v>106</v>
      </c>
      <c r="D68" s="100" t="s">
        <v>677</v>
      </c>
      <c r="E68" s="49" t="str">
        <f t="shared" ref="E68:E131" si="6">IF(M68=" 三线城市及其他 ","Y","N")</f>
        <v>N</v>
      </c>
      <c r="F68" s="55">
        <v>0</v>
      </c>
      <c r="G68" s="55">
        <v>0</v>
      </c>
      <c r="H68" s="55">
        <v>0</v>
      </c>
      <c r="I68" s="55">
        <v>265.46652</v>
      </c>
      <c r="J68" s="96" t="str">
        <f t="shared" si="3"/>
        <v>▲56</v>
      </c>
      <c r="K68" s="49">
        <f t="shared" ref="K68:K131" si="7">RANK(G68,$G$4:$G$999)</f>
        <v>121</v>
      </c>
      <c r="M68" s="43" t="s">
        <v>70</v>
      </c>
    </row>
    <row r="69" spans="1:13">
      <c r="A69" s="2">
        <f t="shared" si="5"/>
        <v>66</v>
      </c>
      <c r="B69" s="53" t="s">
        <v>246</v>
      </c>
      <c r="C69" s="41" t="s">
        <v>102</v>
      </c>
      <c r="D69" s="48" t="s">
        <v>676</v>
      </c>
      <c r="E69" s="49" t="str">
        <f t="shared" si="6"/>
        <v>N</v>
      </c>
      <c r="F69" s="55">
        <v>1816.59</v>
      </c>
      <c r="G69" s="55">
        <v>544.01</v>
      </c>
      <c r="H69" s="55">
        <v>0</v>
      </c>
      <c r="I69" s="55">
        <v>250.76560000000001</v>
      </c>
      <c r="J69" s="96" t="str">
        <f t="shared" ref="J69:J132" si="8">IF(K69="","-",IF(A69=K69,"-",IF(A69&lt;K69,"▲"&amp;K69-A69,"▼"&amp;A69-K69)))</f>
        <v>▼22</v>
      </c>
      <c r="K69" s="49">
        <f t="shared" si="7"/>
        <v>44</v>
      </c>
      <c r="M69" s="43" t="s">
        <v>70</v>
      </c>
    </row>
    <row r="70" spans="1:13">
      <c r="A70" s="2">
        <f t="shared" si="5"/>
        <v>67</v>
      </c>
      <c r="B70" s="53" t="s">
        <v>352</v>
      </c>
      <c r="C70" s="41" t="s">
        <v>102</v>
      </c>
      <c r="D70" s="48" t="s">
        <v>676</v>
      </c>
      <c r="E70" s="49" t="str">
        <f t="shared" si="6"/>
        <v>N</v>
      </c>
      <c r="F70" s="55">
        <v>242.28</v>
      </c>
      <c r="G70" s="55">
        <v>0</v>
      </c>
      <c r="H70" s="55">
        <v>0</v>
      </c>
      <c r="I70" s="55">
        <v>248.01322999999999</v>
      </c>
      <c r="J70" s="96" t="str">
        <f t="shared" si="8"/>
        <v>▲54</v>
      </c>
      <c r="K70" s="49">
        <f t="shared" si="7"/>
        <v>121</v>
      </c>
      <c r="M70" s="43" t="s">
        <v>70</v>
      </c>
    </row>
    <row r="71" spans="1:13">
      <c r="A71" s="2">
        <f t="shared" si="5"/>
        <v>68</v>
      </c>
      <c r="B71" s="53" t="s">
        <v>489</v>
      </c>
      <c r="C71" s="41" t="s">
        <v>102</v>
      </c>
      <c r="D71" s="48" t="s">
        <v>676</v>
      </c>
      <c r="E71" s="49" t="str">
        <f t="shared" si="6"/>
        <v>N</v>
      </c>
      <c r="F71" s="55">
        <v>0</v>
      </c>
      <c r="G71" s="55">
        <v>0</v>
      </c>
      <c r="H71" s="55">
        <v>0</v>
      </c>
      <c r="I71" s="55">
        <v>243.761</v>
      </c>
      <c r="J71" s="96" t="str">
        <f t="shared" si="8"/>
        <v>▲53</v>
      </c>
      <c r="K71" s="49">
        <f t="shared" si="7"/>
        <v>121</v>
      </c>
      <c r="M71" s="43" t="s">
        <v>73</v>
      </c>
    </row>
    <row r="72" spans="1:13">
      <c r="A72" s="2">
        <f t="shared" si="5"/>
        <v>69</v>
      </c>
      <c r="B72" s="53" t="s">
        <v>278</v>
      </c>
      <c r="C72" s="41" t="s">
        <v>104</v>
      </c>
      <c r="D72" s="48" t="s">
        <v>676</v>
      </c>
      <c r="E72" s="49" t="str">
        <f t="shared" si="6"/>
        <v>N</v>
      </c>
      <c r="F72" s="55">
        <v>811.56</v>
      </c>
      <c r="G72" s="55">
        <v>356.01</v>
      </c>
      <c r="H72" s="55">
        <v>0</v>
      </c>
      <c r="I72" s="55">
        <v>239.79203999999999</v>
      </c>
      <c r="J72" s="96" t="str">
        <f t="shared" si="8"/>
        <v>▼15</v>
      </c>
      <c r="K72" s="49">
        <f t="shared" si="7"/>
        <v>54</v>
      </c>
      <c r="M72" s="63" t="s">
        <v>70</v>
      </c>
    </row>
    <row r="73" spans="1:13">
      <c r="A73" s="2">
        <f t="shared" si="5"/>
        <v>70</v>
      </c>
      <c r="B73" s="53" t="s">
        <v>334</v>
      </c>
      <c r="C73" s="41" t="s">
        <v>102</v>
      </c>
      <c r="D73" s="48" t="s">
        <v>676</v>
      </c>
      <c r="E73" s="49" t="str">
        <f t="shared" si="6"/>
        <v>N</v>
      </c>
      <c r="F73" s="55">
        <v>329.95</v>
      </c>
      <c r="G73" s="55">
        <v>0</v>
      </c>
      <c r="H73" s="55">
        <v>0</v>
      </c>
      <c r="I73" s="55">
        <v>238.23031</v>
      </c>
      <c r="J73" s="96" t="str">
        <f t="shared" si="8"/>
        <v>▲51</v>
      </c>
      <c r="K73" s="49">
        <f t="shared" si="7"/>
        <v>121</v>
      </c>
      <c r="M73" s="63" t="s">
        <v>70</v>
      </c>
    </row>
    <row r="74" spans="1:13">
      <c r="A74" s="2">
        <f t="shared" si="5"/>
        <v>71</v>
      </c>
      <c r="B74" s="53" t="s">
        <v>298</v>
      </c>
      <c r="C74" s="41" t="s">
        <v>102</v>
      </c>
      <c r="D74" s="48" t="s">
        <v>676</v>
      </c>
      <c r="E74" s="49" t="str">
        <f t="shared" si="6"/>
        <v>N</v>
      </c>
      <c r="F74" s="55">
        <v>567.21</v>
      </c>
      <c r="G74" s="55">
        <v>178.21</v>
      </c>
      <c r="H74" s="55">
        <v>0</v>
      </c>
      <c r="I74" s="55">
        <v>235.30701999999999</v>
      </c>
      <c r="J74" s="96" t="str">
        <f t="shared" si="8"/>
        <v>▲6</v>
      </c>
      <c r="K74" s="49">
        <f t="shared" si="7"/>
        <v>77</v>
      </c>
      <c r="M74" s="43" t="s">
        <v>70</v>
      </c>
    </row>
    <row r="75" spans="1:13">
      <c r="A75" s="2">
        <f t="shared" si="5"/>
        <v>72</v>
      </c>
      <c r="B75" s="53" t="s">
        <v>270</v>
      </c>
      <c r="C75" s="41" t="s">
        <v>102</v>
      </c>
      <c r="D75" s="48" t="s">
        <v>676</v>
      </c>
      <c r="E75" s="49" t="str">
        <f t="shared" si="6"/>
        <v>N</v>
      </c>
      <c r="F75" s="55">
        <v>956.02</v>
      </c>
      <c r="G75" s="55">
        <v>103.9</v>
      </c>
      <c r="H75" s="55">
        <v>0</v>
      </c>
      <c r="I75" s="55">
        <v>230.57051999999999</v>
      </c>
      <c r="J75" s="96" t="str">
        <f t="shared" si="8"/>
        <v>▲19</v>
      </c>
      <c r="K75" s="49">
        <f t="shared" si="7"/>
        <v>91</v>
      </c>
      <c r="M75" s="43" t="s">
        <v>70</v>
      </c>
    </row>
    <row r="76" spans="1:13">
      <c r="A76" s="2">
        <f t="shared" si="5"/>
        <v>73</v>
      </c>
      <c r="B76" s="53" t="s">
        <v>673</v>
      </c>
      <c r="C76" s="41" t="s">
        <v>102</v>
      </c>
      <c r="D76" s="100" t="s">
        <v>677</v>
      </c>
      <c r="E76" s="49" t="str">
        <f t="shared" si="6"/>
        <v>N</v>
      </c>
      <c r="F76" s="55">
        <v>0</v>
      </c>
      <c r="G76" s="55">
        <v>0</v>
      </c>
      <c r="H76" s="55">
        <v>0</v>
      </c>
      <c r="I76" s="55">
        <v>225.59</v>
      </c>
      <c r="J76" s="96" t="str">
        <f t="shared" si="8"/>
        <v>▲48</v>
      </c>
      <c r="K76" s="49">
        <f t="shared" si="7"/>
        <v>121</v>
      </c>
      <c r="M76" s="63" t="s">
        <v>70</v>
      </c>
    </row>
    <row r="77" spans="1:13">
      <c r="A77" s="2">
        <f t="shared" si="5"/>
        <v>74</v>
      </c>
      <c r="B77" s="53" t="s">
        <v>256</v>
      </c>
      <c r="C77" s="41" t="s">
        <v>104</v>
      </c>
      <c r="D77" s="48" t="s">
        <v>676</v>
      </c>
      <c r="E77" s="49" t="str">
        <f t="shared" si="6"/>
        <v>N</v>
      </c>
      <c r="F77" s="55">
        <v>1450.31</v>
      </c>
      <c r="G77" s="55">
        <v>172.54</v>
      </c>
      <c r="H77" s="55">
        <v>0</v>
      </c>
      <c r="I77" s="55">
        <v>214.14153999999999</v>
      </c>
      <c r="J77" s="96" t="str">
        <f t="shared" si="8"/>
        <v>▲5</v>
      </c>
      <c r="K77" s="49">
        <f t="shared" si="7"/>
        <v>79</v>
      </c>
      <c r="M77" s="63" t="s">
        <v>73</v>
      </c>
    </row>
    <row r="78" spans="1:13">
      <c r="A78" s="2">
        <f t="shared" si="5"/>
        <v>75</v>
      </c>
      <c r="B78" s="53" t="s">
        <v>111</v>
      </c>
      <c r="C78" s="41" t="s">
        <v>102</v>
      </c>
      <c r="D78" s="100" t="s">
        <v>677</v>
      </c>
      <c r="E78" s="49" t="str">
        <f t="shared" si="6"/>
        <v>N</v>
      </c>
      <c r="F78" s="55">
        <v>0</v>
      </c>
      <c r="G78" s="55">
        <v>0</v>
      </c>
      <c r="H78" s="55">
        <v>0</v>
      </c>
      <c r="I78" s="55">
        <v>196.42338000000001</v>
      </c>
      <c r="J78" s="96" t="str">
        <f t="shared" si="8"/>
        <v>▲46</v>
      </c>
      <c r="K78" s="49">
        <f t="shared" si="7"/>
        <v>121</v>
      </c>
      <c r="M78" s="63" t="s">
        <v>70</v>
      </c>
    </row>
    <row r="79" spans="1:13">
      <c r="A79" s="2">
        <f t="shared" si="5"/>
        <v>76</v>
      </c>
      <c r="B79" s="53" t="s">
        <v>263</v>
      </c>
      <c r="C79" s="41" t="s">
        <v>102</v>
      </c>
      <c r="D79" s="48" t="s">
        <v>676</v>
      </c>
      <c r="E79" s="49" t="str">
        <f t="shared" si="6"/>
        <v>N</v>
      </c>
      <c r="F79" s="55">
        <v>1120.1500000000001</v>
      </c>
      <c r="G79" s="55">
        <v>361.33</v>
      </c>
      <c r="H79" s="55">
        <v>0</v>
      </c>
      <c r="I79" s="55">
        <v>193.00885</v>
      </c>
      <c r="J79" s="96" t="str">
        <f t="shared" si="8"/>
        <v>▼24</v>
      </c>
      <c r="K79" s="49">
        <f t="shared" si="7"/>
        <v>52</v>
      </c>
      <c r="M79" s="43" t="s">
        <v>70</v>
      </c>
    </row>
    <row r="80" spans="1:13">
      <c r="A80" s="2">
        <f t="shared" si="5"/>
        <v>77</v>
      </c>
      <c r="B80" s="53" t="s">
        <v>346</v>
      </c>
      <c r="C80" s="41" t="s">
        <v>106</v>
      </c>
      <c r="D80" s="48" t="s">
        <v>676</v>
      </c>
      <c r="E80" s="49" t="str">
        <f t="shared" si="6"/>
        <v>N</v>
      </c>
      <c r="F80" s="55">
        <v>270.33</v>
      </c>
      <c r="G80" s="55">
        <v>78.23</v>
      </c>
      <c r="H80" s="55">
        <v>0</v>
      </c>
      <c r="I80" s="55">
        <v>191.18522999999999</v>
      </c>
      <c r="J80" s="96" t="str">
        <f t="shared" si="8"/>
        <v>▲22</v>
      </c>
      <c r="K80" s="49">
        <f t="shared" si="7"/>
        <v>99</v>
      </c>
      <c r="M80" s="63" t="s">
        <v>70</v>
      </c>
    </row>
    <row r="81" spans="1:16">
      <c r="A81" s="2">
        <f t="shared" si="5"/>
        <v>78</v>
      </c>
      <c r="B81" s="53" t="s">
        <v>267</v>
      </c>
      <c r="C81" s="41" t="s">
        <v>104</v>
      </c>
      <c r="D81" s="48" t="s">
        <v>676</v>
      </c>
      <c r="E81" s="49" t="str">
        <f t="shared" si="6"/>
        <v>N</v>
      </c>
      <c r="F81" s="55">
        <v>1023.29</v>
      </c>
      <c r="G81" s="55">
        <v>344.47</v>
      </c>
      <c r="H81" s="55">
        <v>0</v>
      </c>
      <c r="I81" s="55">
        <v>168.73333</v>
      </c>
      <c r="J81" s="96" t="str">
        <f t="shared" si="8"/>
        <v>▼23</v>
      </c>
      <c r="K81" s="49">
        <f t="shared" si="7"/>
        <v>55</v>
      </c>
      <c r="M81" s="43" t="s">
        <v>70</v>
      </c>
    </row>
    <row r="82" spans="1:16">
      <c r="A82" s="2">
        <f t="shared" si="5"/>
        <v>79</v>
      </c>
      <c r="B82" s="53" t="s">
        <v>405</v>
      </c>
      <c r="C82" s="41" t="s">
        <v>79</v>
      </c>
      <c r="D82" s="48" t="s">
        <v>676</v>
      </c>
      <c r="E82" s="49" t="str">
        <f t="shared" si="6"/>
        <v>N</v>
      </c>
      <c r="F82" s="55">
        <v>109.54</v>
      </c>
      <c r="G82" s="55">
        <v>0</v>
      </c>
      <c r="H82" s="55">
        <v>0</v>
      </c>
      <c r="I82" s="55">
        <v>168.25758999999999</v>
      </c>
      <c r="J82" s="96" t="str">
        <f t="shared" si="8"/>
        <v>▲42</v>
      </c>
      <c r="K82" s="49">
        <f t="shared" si="7"/>
        <v>121</v>
      </c>
      <c r="M82" s="63" t="s">
        <v>70</v>
      </c>
    </row>
    <row r="83" spans="1:16">
      <c r="A83" s="2">
        <f t="shared" si="5"/>
        <v>80</v>
      </c>
      <c r="B83" s="53" t="s">
        <v>370</v>
      </c>
      <c r="C83" s="41" t="s">
        <v>79</v>
      </c>
      <c r="D83" s="48" t="s">
        <v>676</v>
      </c>
      <c r="E83" s="49" t="str">
        <f t="shared" si="6"/>
        <v>N</v>
      </c>
      <c r="F83" s="55">
        <v>186.05</v>
      </c>
      <c r="G83" s="55">
        <v>186.05</v>
      </c>
      <c r="H83" s="55">
        <v>0</v>
      </c>
      <c r="I83" s="55">
        <v>166.05169000000001</v>
      </c>
      <c r="J83" s="96" t="str">
        <f t="shared" si="8"/>
        <v>▼5</v>
      </c>
      <c r="K83" s="49">
        <f t="shared" si="7"/>
        <v>75</v>
      </c>
      <c r="M83" s="43" t="s">
        <v>70</v>
      </c>
    </row>
    <row r="84" spans="1:16" ht="17.25" thickBot="1">
      <c r="A84" s="2">
        <f t="shared" si="5"/>
        <v>81</v>
      </c>
      <c r="B84" s="53" t="s">
        <v>306</v>
      </c>
      <c r="C84" s="41" t="s">
        <v>102</v>
      </c>
      <c r="D84" s="48" t="s">
        <v>676</v>
      </c>
      <c r="E84" s="49" t="str">
        <f t="shared" si="6"/>
        <v>N</v>
      </c>
      <c r="F84" s="55">
        <v>531.73</v>
      </c>
      <c r="G84" s="55">
        <v>127.38</v>
      </c>
      <c r="H84" s="55">
        <v>0</v>
      </c>
      <c r="I84" s="55">
        <v>164.34905000000001</v>
      </c>
      <c r="J84" s="96" t="str">
        <f t="shared" si="8"/>
        <v>▲6</v>
      </c>
      <c r="K84" s="49">
        <f t="shared" si="7"/>
        <v>87</v>
      </c>
      <c r="M84" s="43" t="s">
        <v>70</v>
      </c>
    </row>
    <row r="85" spans="1:16" ht="17.25" thickBot="1">
      <c r="A85" s="2">
        <f t="shared" si="5"/>
        <v>82</v>
      </c>
      <c r="B85" s="53" t="s">
        <v>413</v>
      </c>
      <c r="C85" s="41" t="s">
        <v>79</v>
      </c>
      <c r="D85" s="48" t="s">
        <v>676</v>
      </c>
      <c r="E85" s="49" t="str">
        <f t="shared" si="6"/>
        <v>N</v>
      </c>
      <c r="F85" s="55">
        <v>81.06</v>
      </c>
      <c r="G85" s="55">
        <v>0</v>
      </c>
      <c r="H85" s="55">
        <v>0</v>
      </c>
      <c r="I85" s="55">
        <v>163.72637</v>
      </c>
      <c r="J85" s="96" t="str">
        <f t="shared" si="8"/>
        <v>▲39</v>
      </c>
      <c r="K85" s="49">
        <f t="shared" si="7"/>
        <v>121</v>
      </c>
      <c r="M85" s="63" t="s">
        <v>70</v>
      </c>
      <c r="P85" s="91" t="s">
        <v>105</v>
      </c>
    </row>
    <row r="86" spans="1:16" ht="17.25" thickBot="1">
      <c r="A86" s="2">
        <f t="shared" si="5"/>
        <v>83</v>
      </c>
      <c r="B86" s="53" t="s">
        <v>253</v>
      </c>
      <c r="C86" s="41" t="s">
        <v>102</v>
      </c>
      <c r="D86" s="48" t="s">
        <v>676</v>
      </c>
      <c r="E86" s="49" t="str">
        <f t="shared" si="6"/>
        <v>N</v>
      </c>
      <c r="F86" s="55">
        <v>1500.15</v>
      </c>
      <c r="G86" s="55">
        <v>210.95</v>
      </c>
      <c r="H86" s="55">
        <v>0</v>
      </c>
      <c r="I86" s="55">
        <v>146.37454</v>
      </c>
      <c r="J86" s="96" t="str">
        <f t="shared" si="8"/>
        <v>▼16</v>
      </c>
      <c r="K86" s="49">
        <f t="shared" si="7"/>
        <v>67</v>
      </c>
      <c r="M86" s="63" t="s">
        <v>70</v>
      </c>
      <c r="P86" s="91" t="s">
        <v>120</v>
      </c>
    </row>
    <row r="87" spans="1:16" ht="17.25" thickBot="1">
      <c r="A87" s="2">
        <f t="shared" si="5"/>
        <v>84</v>
      </c>
      <c r="B87" s="53" t="s">
        <v>301</v>
      </c>
      <c r="C87" s="41" t="s">
        <v>102</v>
      </c>
      <c r="D87" s="48" t="s">
        <v>676</v>
      </c>
      <c r="E87" s="49" t="str">
        <f t="shared" si="6"/>
        <v>N</v>
      </c>
      <c r="F87" s="55">
        <v>547.42999999999995</v>
      </c>
      <c r="G87" s="55">
        <v>195.43</v>
      </c>
      <c r="H87" s="55">
        <v>0</v>
      </c>
      <c r="I87" s="55">
        <v>146.10346999999999</v>
      </c>
      <c r="J87" s="96" t="str">
        <f t="shared" si="8"/>
        <v>▼12</v>
      </c>
      <c r="K87" s="49">
        <f t="shared" si="7"/>
        <v>72</v>
      </c>
      <c r="M87" s="63" t="s">
        <v>73</v>
      </c>
      <c r="P87" s="91" t="s">
        <v>99</v>
      </c>
    </row>
    <row r="88" spans="1:16" ht="17.25" thickBot="1">
      <c r="A88" s="2">
        <f t="shared" si="5"/>
        <v>85</v>
      </c>
      <c r="B88" s="53" t="s">
        <v>115</v>
      </c>
      <c r="C88" s="41" t="s">
        <v>102</v>
      </c>
      <c r="D88" s="100" t="s">
        <v>677</v>
      </c>
      <c r="E88" s="49" t="str">
        <f t="shared" si="6"/>
        <v>Y</v>
      </c>
      <c r="F88" s="55">
        <v>0</v>
      </c>
      <c r="G88" s="55">
        <v>0</v>
      </c>
      <c r="H88" s="55">
        <v>0</v>
      </c>
      <c r="I88" s="55">
        <v>140</v>
      </c>
      <c r="J88" s="96" t="str">
        <f t="shared" si="8"/>
        <v>▲36</v>
      </c>
      <c r="K88" s="49">
        <f t="shared" si="7"/>
        <v>121</v>
      </c>
      <c r="M88" s="63" t="s">
        <v>81</v>
      </c>
      <c r="P88" s="91" t="s">
        <v>121</v>
      </c>
    </row>
    <row r="89" spans="1:16" ht="17.25" thickBot="1">
      <c r="A89" s="2">
        <f t="shared" si="5"/>
        <v>86</v>
      </c>
      <c r="B89" s="53" t="s">
        <v>463</v>
      </c>
      <c r="C89" s="41" t="s">
        <v>102</v>
      </c>
      <c r="D89" s="99" t="s">
        <v>677</v>
      </c>
      <c r="E89" s="49" t="str">
        <f t="shared" si="6"/>
        <v>N</v>
      </c>
      <c r="F89" s="55">
        <v>0</v>
      </c>
      <c r="G89" s="55">
        <v>0</v>
      </c>
      <c r="H89" s="55">
        <v>0</v>
      </c>
      <c r="I89" s="55">
        <v>137.61341999999999</v>
      </c>
      <c r="J89" s="96" t="str">
        <f t="shared" si="8"/>
        <v>▲35</v>
      </c>
      <c r="K89" s="49">
        <f t="shared" si="7"/>
        <v>121</v>
      </c>
      <c r="M89" s="63" t="s">
        <v>70</v>
      </c>
      <c r="P89" s="91" t="s">
        <v>122</v>
      </c>
    </row>
    <row r="90" spans="1:16" ht="17.25" thickBot="1">
      <c r="A90" s="2">
        <f t="shared" si="5"/>
        <v>87</v>
      </c>
      <c r="B90" s="53" t="s">
        <v>293</v>
      </c>
      <c r="C90" s="41" t="s">
        <v>106</v>
      </c>
      <c r="D90" s="48" t="s">
        <v>676</v>
      </c>
      <c r="E90" s="49" t="str">
        <f t="shared" si="6"/>
        <v>N</v>
      </c>
      <c r="F90" s="55">
        <v>615.82000000000005</v>
      </c>
      <c r="G90" s="55">
        <v>210.86</v>
      </c>
      <c r="H90" s="55">
        <v>0</v>
      </c>
      <c r="I90" s="55">
        <v>137.58842999999999</v>
      </c>
      <c r="J90" s="96" t="str">
        <f t="shared" si="8"/>
        <v>▼19</v>
      </c>
      <c r="K90" s="49">
        <f t="shared" si="7"/>
        <v>68</v>
      </c>
      <c r="M90" s="63" t="s">
        <v>70</v>
      </c>
      <c r="P90" s="91" t="s">
        <v>123</v>
      </c>
    </row>
    <row r="91" spans="1:16" ht="17.25" thickBot="1">
      <c r="A91" s="2">
        <f t="shared" si="5"/>
        <v>88</v>
      </c>
      <c r="B91" s="53" t="s">
        <v>311</v>
      </c>
      <c r="C91" s="41" t="s">
        <v>106</v>
      </c>
      <c r="D91" s="48" t="s">
        <v>676</v>
      </c>
      <c r="E91" s="49" t="str">
        <f t="shared" si="6"/>
        <v>Y</v>
      </c>
      <c r="F91" s="55">
        <v>443.98</v>
      </c>
      <c r="G91" s="55">
        <v>99.32</v>
      </c>
      <c r="H91" s="55">
        <v>0</v>
      </c>
      <c r="I91" s="55">
        <v>134.92010999999999</v>
      </c>
      <c r="J91" s="96" t="str">
        <f t="shared" si="8"/>
        <v>▲5</v>
      </c>
      <c r="K91" s="49">
        <f t="shared" si="7"/>
        <v>93</v>
      </c>
      <c r="M91" s="43" t="s">
        <v>81</v>
      </c>
      <c r="P91" s="91" t="s">
        <v>124</v>
      </c>
    </row>
    <row r="92" spans="1:16" ht="17.25" thickBot="1">
      <c r="A92" s="2">
        <f t="shared" si="5"/>
        <v>89</v>
      </c>
      <c r="B92" s="53" t="s">
        <v>282</v>
      </c>
      <c r="C92" s="41" t="s">
        <v>102</v>
      </c>
      <c r="D92" s="48" t="s">
        <v>676</v>
      </c>
      <c r="E92" s="49" t="str">
        <f t="shared" si="6"/>
        <v>N</v>
      </c>
      <c r="F92" s="55">
        <v>751.81</v>
      </c>
      <c r="G92" s="55">
        <v>198.96</v>
      </c>
      <c r="H92" s="55">
        <v>0</v>
      </c>
      <c r="I92" s="55">
        <v>132.82733999999999</v>
      </c>
      <c r="J92" s="96" t="str">
        <f t="shared" si="8"/>
        <v>▼19</v>
      </c>
      <c r="K92" s="49">
        <f t="shared" si="7"/>
        <v>70</v>
      </c>
      <c r="M92" s="43" t="s">
        <v>70</v>
      </c>
      <c r="P92" s="91" t="s">
        <v>101</v>
      </c>
    </row>
    <row r="93" spans="1:16" ht="17.25" thickBot="1">
      <c r="A93" s="2">
        <f t="shared" si="5"/>
        <v>90</v>
      </c>
      <c r="B93" s="53" t="s">
        <v>312</v>
      </c>
      <c r="C93" s="41" t="s">
        <v>104</v>
      </c>
      <c r="D93" s="48" t="s">
        <v>676</v>
      </c>
      <c r="E93" s="49" t="str">
        <f t="shared" si="6"/>
        <v>Y</v>
      </c>
      <c r="F93" s="55">
        <v>424.98</v>
      </c>
      <c r="G93" s="55">
        <v>0</v>
      </c>
      <c r="H93" s="55">
        <v>0</v>
      </c>
      <c r="I93" s="55">
        <v>116.89597999999999</v>
      </c>
      <c r="J93" s="96" t="str">
        <f t="shared" si="8"/>
        <v>▲31</v>
      </c>
      <c r="K93" s="49">
        <f t="shared" si="7"/>
        <v>121</v>
      </c>
      <c r="M93" s="43" t="s">
        <v>81</v>
      </c>
      <c r="P93" s="91" t="s">
        <v>125</v>
      </c>
    </row>
    <row r="94" spans="1:16" ht="17.25" thickBot="1">
      <c r="A94" s="2">
        <f t="shared" si="5"/>
        <v>91</v>
      </c>
      <c r="B94" s="53" t="s">
        <v>674</v>
      </c>
      <c r="C94" s="41" t="s">
        <v>79</v>
      </c>
      <c r="D94" s="99" t="s">
        <v>677</v>
      </c>
      <c r="E94" s="49" t="str">
        <f t="shared" si="6"/>
        <v>N</v>
      </c>
      <c r="F94" s="55">
        <v>11.92</v>
      </c>
      <c r="G94" s="55">
        <v>0</v>
      </c>
      <c r="H94" s="55">
        <v>5000</v>
      </c>
      <c r="I94" s="55">
        <v>114.27084000000001</v>
      </c>
      <c r="J94" s="96" t="str">
        <f t="shared" si="8"/>
        <v>▲30</v>
      </c>
      <c r="K94" s="49">
        <f t="shared" si="7"/>
        <v>121</v>
      </c>
      <c r="M94" s="43" t="s">
        <v>70</v>
      </c>
      <c r="P94" s="91" t="s">
        <v>126</v>
      </c>
    </row>
    <row r="95" spans="1:16" ht="17.25" thickBot="1">
      <c r="A95" s="2">
        <f t="shared" si="5"/>
        <v>92</v>
      </c>
      <c r="B95" s="53" t="s">
        <v>491</v>
      </c>
      <c r="C95" s="41" t="s">
        <v>106</v>
      </c>
      <c r="D95" s="48" t="s">
        <v>676</v>
      </c>
      <c r="E95" s="49" t="str">
        <f t="shared" si="6"/>
        <v>N</v>
      </c>
      <c r="F95" s="55">
        <v>0</v>
      </c>
      <c r="G95" s="55">
        <v>0</v>
      </c>
      <c r="H95" s="55">
        <v>0</v>
      </c>
      <c r="I95" s="55">
        <v>97.751339999999999</v>
      </c>
      <c r="J95" s="96" t="str">
        <f t="shared" si="8"/>
        <v>▲29</v>
      </c>
      <c r="K95" s="49">
        <f t="shared" si="7"/>
        <v>121</v>
      </c>
      <c r="M95" s="63" t="s">
        <v>70</v>
      </c>
      <c r="P95" s="91" t="s">
        <v>127</v>
      </c>
    </row>
    <row r="96" spans="1:16">
      <c r="A96" s="2">
        <f t="shared" si="5"/>
        <v>93</v>
      </c>
      <c r="B96" s="53" t="s">
        <v>458</v>
      </c>
      <c r="C96" s="41" t="s">
        <v>102</v>
      </c>
      <c r="D96" s="99" t="s">
        <v>677</v>
      </c>
      <c r="E96" s="49" t="str">
        <f t="shared" si="6"/>
        <v>N</v>
      </c>
      <c r="F96" s="55">
        <v>0</v>
      </c>
      <c r="G96" s="55">
        <v>0</v>
      </c>
      <c r="H96" s="55">
        <v>0</v>
      </c>
      <c r="I96" s="55">
        <v>93.434820000000002</v>
      </c>
      <c r="J96" s="96" t="str">
        <f t="shared" si="8"/>
        <v>▲28</v>
      </c>
      <c r="K96" s="49">
        <f t="shared" si="7"/>
        <v>121</v>
      </c>
      <c r="M96" s="43" t="s">
        <v>70</v>
      </c>
    </row>
    <row r="97" spans="1:13">
      <c r="A97" s="2">
        <f t="shared" si="5"/>
        <v>94</v>
      </c>
      <c r="B97" s="53" t="s">
        <v>273</v>
      </c>
      <c r="C97" s="41" t="s">
        <v>104</v>
      </c>
      <c r="D97" s="48" t="s">
        <v>676</v>
      </c>
      <c r="E97" s="49" t="str">
        <f t="shared" si="6"/>
        <v>Y</v>
      </c>
      <c r="F97" s="55">
        <v>866.48</v>
      </c>
      <c r="G97" s="55">
        <v>235.92</v>
      </c>
      <c r="H97" s="55">
        <v>0</v>
      </c>
      <c r="I97" s="55">
        <v>92.58896</v>
      </c>
      <c r="J97" s="96" t="str">
        <f t="shared" si="8"/>
        <v>▼30</v>
      </c>
      <c r="K97" s="49">
        <f t="shared" si="7"/>
        <v>64</v>
      </c>
      <c r="M97" s="43" t="s">
        <v>81</v>
      </c>
    </row>
    <row r="98" spans="1:13">
      <c r="A98" s="2">
        <f t="shared" si="5"/>
        <v>95</v>
      </c>
      <c r="B98" s="53" t="s">
        <v>390</v>
      </c>
      <c r="C98" s="41" t="s">
        <v>102</v>
      </c>
      <c r="D98" s="48" t="s">
        <v>676</v>
      </c>
      <c r="E98" s="49" t="str">
        <f t="shared" si="6"/>
        <v>N</v>
      </c>
      <c r="F98" s="55">
        <v>147.05000000000001</v>
      </c>
      <c r="G98" s="55">
        <v>0</v>
      </c>
      <c r="H98" s="55">
        <v>0</v>
      </c>
      <c r="I98" s="55">
        <v>91.061949999999996</v>
      </c>
      <c r="J98" s="96" t="str">
        <f t="shared" si="8"/>
        <v>▲26</v>
      </c>
      <c r="K98" s="49">
        <f t="shared" si="7"/>
        <v>121</v>
      </c>
      <c r="M98" s="43" t="s">
        <v>73</v>
      </c>
    </row>
    <row r="99" spans="1:13">
      <c r="A99" s="2">
        <f t="shared" si="5"/>
        <v>96</v>
      </c>
      <c r="B99" s="53" t="s">
        <v>360</v>
      </c>
      <c r="C99" s="41" t="s">
        <v>102</v>
      </c>
      <c r="D99" s="48" t="s">
        <v>676</v>
      </c>
      <c r="E99" s="49" t="str">
        <f t="shared" si="6"/>
        <v>N</v>
      </c>
      <c r="F99" s="55">
        <v>198.82</v>
      </c>
      <c r="G99" s="55">
        <v>46.9</v>
      </c>
      <c r="H99" s="55">
        <v>0</v>
      </c>
      <c r="I99" s="55">
        <v>80.614109999999997</v>
      </c>
      <c r="J99" s="96" t="str">
        <f t="shared" si="8"/>
        <v>▲12</v>
      </c>
      <c r="K99" s="49">
        <f t="shared" si="7"/>
        <v>108</v>
      </c>
      <c r="M99" s="43" t="s">
        <v>70</v>
      </c>
    </row>
    <row r="100" spans="1:13">
      <c r="A100" s="2">
        <f t="shared" si="5"/>
        <v>97</v>
      </c>
      <c r="B100" s="53" t="s">
        <v>331</v>
      </c>
      <c r="C100" s="41" t="s">
        <v>102</v>
      </c>
      <c r="D100" s="48" t="s">
        <v>676</v>
      </c>
      <c r="E100" s="49" t="str">
        <f t="shared" si="6"/>
        <v>N</v>
      </c>
      <c r="F100" s="55">
        <v>342.64</v>
      </c>
      <c r="G100" s="55">
        <v>0</v>
      </c>
      <c r="H100" s="55">
        <v>0</v>
      </c>
      <c r="I100" s="55">
        <v>76.493870000000001</v>
      </c>
      <c r="J100" s="96" t="str">
        <f t="shared" si="8"/>
        <v>▲24</v>
      </c>
      <c r="K100" s="49">
        <f t="shared" si="7"/>
        <v>121</v>
      </c>
      <c r="M100" s="63" t="s">
        <v>70</v>
      </c>
    </row>
    <row r="101" spans="1:13">
      <c r="A101" s="2">
        <f t="shared" si="5"/>
        <v>98</v>
      </c>
      <c r="B101" s="53" t="s">
        <v>291</v>
      </c>
      <c r="C101" s="41" t="s">
        <v>102</v>
      </c>
      <c r="D101" s="48" t="s">
        <v>676</v>
      </c>
      <c r="E101" s="49" t="str">
        <f t="shared" si="6"/>
        <v>N</v>
      </c>
      <c r="F101" s="55">
        <v>624.34</v>
      </c>
      <c r="G101" s="55">
        <v>305.32</v>
      </c>
      <c r="H101" s="55">
        <v>0</v>
      </c>
      <c r="I101" s="55">
        <v>75.185490000000001</v>
      </c>
      <c r="J101" s="96" t="str">
        <f t="shared" si="8"/>
        <v>▼40</v>
      </c>
      <c r="K101" s="49">
        <f t="shared" si="7"/>
        <v>58</v>
      </c>
      <c r="M101" s="63" t="s">
        <v>70</v>
      </c>
    </row>
    <row r="102" spans="1:13">
      <c r="A102" s="2">
        <f t="shared" si="5"/>
        <v>99</v>
      </c>
      <c r="B102" s="53" t="s">
        <v>385</v>
      </c>
      <c r="C102" s="41" t="s">
        <v>106</v>
      </c>
      <c r="D102" s="48" t="s">
        <v>676</v>
      </c>
      <c r="E102" s="49" t="str">
        <f t="shared" si="6"/>
        <v>N</v>
      </c>
      <c r="F102" s="55">
        <v>148.08000000000001</v>
      </c>
      <c r="G102" s="55">
        <v>36.020000000000003</v>
      </c>
      <c r="H102" s="55">
        <v>0</v>
      </c>
      <c r="I102" s="55">
        <v>74.953720000000004</v>
      </c>
      <c r="J102" s="96" t="str">
        <f t="shared" si="8"/>
        <v>▲12</v>
      </c>
      <c r="K102" s="49">
        <f t="shared" si="7"/>
        <v>111</v>
      </c>
      <c r="M102" s="43" t="s">
        <v>70</v>
      </c>
    </row>
    <row r="103" spans="1:13">
      <c r="A103" s="2">
        <f t="shared" si="5"/>
        <v>100</v>
      </c>
      <c r="B103" s="53" t="s">
        <v>460</v>
      </c>
      <c r="C103" s="41" t="s">
        <v>102</v>
      </c>
      <c r="D103" s="99" t="s">
        <v>677</v>
      </c>
      <c r="E103" s="49" t="str">
        <f t="shared" si="6"/>
        <v>N</v>
      </c>
      <c r="F103" s="55">
        <v>0</v>
      </c>
      <c r="G103" s="55">
        <v>0</v>
      </c>
      <c r="H103" s="55">
        <v>0</v>
      </c>
      <c r="I103" s="55">
        <v>71.0642</v>
      </c>
      <c r="J103" s="96" t="str">
        <f t="shared" si="8"/>
        <v>▲21</v>
      </c>
      <c r="K103" s="49">
        <f t="shared" si="7"/>
        <v>121</v>
      </c>
      <c r="M103" s="43" t="s">
        <v>73</v>
      </c>
    </row>
    <row r="104" spans="1:13">
      <c r="A104" s="2">
        <f t="shared" si="5"/>
        <v>101</v>
      </c>
      <c r="B104" s="53" t="s">
        <v>321</v>
      </c>
      <c r="C104" s="41" t="s">
        <v>106</v>
      </c>
      <c r="D104" s="48" t="s">
        <v>676</v>
      </c>
      <c r="E104" s="49" t="str">
        <f t="shared" si="6"/>
        <v>N</v>
      </c>
      <c r="F104" s="55">
        <v>387.76</v>
      </c>
      <c r="G104" s="55">
        <v>102.56</v>
      </c>
      <c r="H104" s="55">
        <v>0</v>
      </c>
      <c r="I104" s="55">
        <v>69.307090000000002</v>
      </c>
      <c r="J104" s="96" t="str">
        <f t="shared" si="8"/>
        <v>▼9</v>
      </c>
      <c r="K104" s="49">
        <f t="shared" si="7"/>
        <v>92</v>
      </c>
      <c r="M104" s="43" t="s">
        <v>70</v>
      </c>
    </row>
    <row r="105" spans="1:13">
      <c r="A105" s="2">
        <f t="shared" si="5"/>
        <v>102</v>
      </c>
      <c r="B105" s="53" t="s">
        <v>354</v>
      </c>
      <c r="C105" s="41" t="s">
        <v>102</v>
      </c>
      <c r="D105" s="48" t="s">
        <v>676</v>
      </c>
      <c r="E105" s="49" t="str">
        <f t="shared" si="6"/>
        <v>N</v>
      </c>
      <c r="F105" s="55">
        <v>228.89</v>
      </c>
      <c r="G105" s="55">
        <v>47</v>
      </c>
      <c r="H105" s="55">
        <v>0</v>
      </c>
      <c r="I105" s="55">
        <v>62.96105</v>
      </c>
      <c r="J105" s="96" t="str">
        <f t="shared" si="8"/>
        <v>▲5</v>
      </c>
      <c r="K105" s="49">
        <f t="shared" si="7"/>
        <v>107</v>
      </c>
      <c r="M105" s="63" t="s">
        <v>70</v>
      </c>
    </row>
    <row r="106" spans="1:13">
      <c r="A106" s="2">
        <f t="shared" si="5"/>
        <v>103</v>
      </c>
      <c r="B106" s="53" t="s">
        <v>379</v>
      </c>
      <c r="C106" s="61" t="s">
        <v>102</v>
      </c>
      <c r="D106" s="48" t="s">
        <v>676</v>
      </c>
      <c r="E106" s="49" t="str">
        <f t="shared" si="6"/>
        <v>N</v>
      </c>
      <c r="F106" s="55">
        <v>163.15</v>
      </c>
      <c r="G106" s="55">
        <v>54.14</v>
      </c>
      <c r="H106" s="55">
        <v>0</v>
      </c>
      <c r="I106" s="55">
        <v>53.992190000000001</v>
      </c>
      <c r="J106" s="96" t="str">
        <f t="shared" si="8"/>
        <v>-</v>
      </c>
      <c r="K106" s="49">
        <f t="shared" si="7"/>
        <v>103</v>
      </c>
      <c r="M106" s="63" t="s">
        <v>70</v>
      </c>
    </row>
    <row r="107" spans="1:13">
      <c r="A107" s="2">
        <f t="shared" si="5"/>
        <v>104</v>
      </c>
      <c r="B107" s="53" t="s">
        <v>388</v>
      </c>
      <c r="C107" s="61" t="s">
        <v>106</v>
      </c>
      <c r="D107" s="48" t="s">
        <v>676</v>
      </c>
      <c r="E107" s="49" t="str">
        <f t="shared" si="6"/>
        <v>N</v>
      </c>
      <c r="F107" s="55">
        <v>147.65</v>
      </c>
      <c r="G107" s="55">
        <v>0</v>
      </c>
      <c r="H107" s="55">
        <v>0</v>
      </c>
      <c r="I107" s="55">
        <v>47.712000000000003</v>
      </c>
      <c r="J107" s="96" t="str">
        <f t="shared" si="8"/>
        <v>▲17</v>
      </c>
      <c r="K107" s="49">
        <f t="shared" si="7"/>
        <v>121</v>
      </c>
      <c r="M107" s="43" t="s">
        <v>70</v>
      </c>
    </row>
    <row r="108" spans="1:13">
      <c r="A108" s="2">
        <f t="shared" si="5"/>
        <v>105</v>
      </c>
      <c r="B108" s="53" t="s">
        <v>364</v>
      </c>
      <c r="C108" s="61" t="s">
        <v>102</v>
      </c>
      <c r="D108" s="48" t="s">
        <v>676</v>
      </c>
      <c r="E108" s="49" t="str">
        <f t="shared" si="6"/>
        <v>N</v>
      </c>
      <c r="F108" s="55">
        <v>192.64</v>
      </c>
      <c r="G108" s="55">
        <v>47.09</v>
      </c>
      <c r="H108" s="55">
        <v>0</v>
      </c>
      <c r="I108" s="55">
        <v>45.605310000000003</v>
      </c>
      <c r="J108" s="96" t="str">
        <f t="shared" si="8"/>
        <v>▲1</v>
      </c>
      <c r="K108" s="49">
        <f t="shared" si="7"/>
        <v>106</v>
      </c>
      <c r="M108" s="63" t="s">
        <v>73</v>
      </c>
    </row>
    <row r="109" spans="1:13">
      <c r="A109" s="2">
        <f t="shared" si="5"/>
        <v>106</v>
      </c>
      <c r="B109" s="59" t="s">
        <v>310</v>
      </c>
      <c r="C109" s="61" t="s">
        <v>79</v>
      </c>
      <c r="D109" s="48" t="s">
        <v>676</v>
      </c>
      <c r="E109" s="49" t="str">
        <f t="shared" si="6"/>
        <v>N</v>
      </c>
      <c r="F109" s="55">
        <v>450.74</v>
      </c>
      <c r="G109" s="55">
        <v>293.18</v>
      </c>
      <c r="H109" s="55">
        <v>0</v>
      </c>
      <c r="I109" s="55">
        <v>42.635359999999999</v>
      </c>
      <c r="J109" s="96" t="str">
        <f t="shared" si="8"/>
        <v>▼46</v>
      </c>
      <c r="K109" s="49">
        <f t="shared" si="7"/>
        <v>60</v>
      </c>
      <c r="M109" s="43" t="s">
        <v>70</v>
      </c>
    </row>
    <row r="110" spans="1:13">
      <c r="A110" s="2">
        <f t="shared" si="5"/>
        <v>107</v>
      </c>
      <c r="B110" s="59" t="s">
        <v>675</v>
      </c>
      <c r="C110" s="61" t="s">
        <v>106</v>
      </c>
      <c r="D110" s="100" t="s">
        <v>677</v>
      </c>
      <c r="E110" s="49" t="str">
        <f t="shared" si="6"/>
        <v>N</v>
      </c>
      <c r="F110" s="55">
        <v>0</v>
      </c>
      <c r="G110" s="55">
        <v>0</v>
      </c>
      <c r="H110" s="55">
        <v>0</v>
      </c>
      <c r="I110" s="55">
        <v>40.403219999999997</v>
      </c>
      <c r="J110" s="96" t="str">
        <f t="shared" si="8"/>
        <v>▲14</v>
      </c>
      <c r="K110" s="49">
        <f t="shared" si="7"/>
        <v>121</v>
      </c>
      <c r="M110" s="43" t="s">
        <v>70</v>
      </c>
    </row>
    <row r="111" spans="1:13">
      <c r="A111" s="2">
        <f t="shared" si="5"/>
        <v>108</v>
      </c>
      <c r="B111" s="59" t="s">
        <v>377</v>
      </c>
      <c r="C111" s="61" t="s">
        <v>102</v>
      </c>
      <c r="D111" s="48" t="s">
        <v>676</v>
      </c>
      <c r="E111" s="49" t="str">
        <f t="shared" si="6"/>
        <v>N</v>
      </c>
      <c r="F111" s="55">
        <v>163.22999999999999</v>
      </c>
      <c r="G111" s="55">
        <v>0</v>
      </c>
      <c r="H111" s="55">
        <v>0</v>
      </c>
      <c r="I111" s="55">
        <v>37.216479999999997</v>
      </c>
      <c r="J111" s="96" t="str">
        <f t="shared" si="8"/>
        <v>▲13</v>
      </c>
      <c r="K111" s="49">
        <f t="shared" si="7"/>
        <v>121</v>
      </c>
      <c r="M111" s="63" t="s">
        <v>70</v>
      </c>
    </row>
    <row r="112" spans="1:13">
      <c r="A112" s="2">
        <f t="shared" si="5"/>
        <v>109</v>
      </c>
      <c r="B112" s="53" t="s">
        <v>461</v>
      </c>
      <c r="C112" s="41" t="s">
        <v>106</v>
      </c>
      <c r="D112" s="99" t="s">
        <v>677</v>
      </c>
      <c r="E112" s="49" t="str">
        <f t="shared" si="6"/>
        <v>N</v>
      </c>
      <c r="F112" s="55">
        <v>0</v>
      </c>
      <c r="G112" s="55">
        <v>0</v>
      </c>
      <c r="H112" s="55">
        <v>0</v>
      </c>
      <c r="I112" s="55">
        <v>35.814160000000001</v>
      </c>
      <c r="J112" s="96" t="str">
        <f t="shared" si="8"/>
        <v>▲12</v>
      </c>
      <c r="K112" s="49">
        <f t="shared" si="7"/>
        <v>121</v>
      </c>
      <c r="M112" s="63" t="s">
        <v>73</v>
      </c>
    </row>
    <row r="113" spans="1:13">
      <c r="A113" s="2">
        <f t="shared" si="5"/>
        <v>110</v>
      </c>
      <c r="B113" s="53" t="s">
        <v>238</v>
      </c>
      <c r="C113" s="41" t="s">
        <v>104</v>
      </c>
      <c r="D113" s="48" t="s">
        <v>676</v>
      </c>
      <c r="E113" s="49" t="str">
        <f t="shared" si="6"/>
        <v>N</v>
      </c>
      <c r="F113" s="55">
        <v>2038.97</v>
      </c>
      <c r="G113" s="55">
        <v>857.39</v>
      </c>
      <c r="H113" s="55">
        <v>0</v>
      </c>
      <c r="I113" s="55">
        <v>33.927079999999997</v>
      </c>
      <c r="J113" s="96" t="str">
        <f t="shared" si="8"/>
        <v>▼76</v>
      </c>
      <c r="K113" s="49">
        <f t="shared" si="7"/>
        <v>34</v>
      </c>
      <c r="M113" s="63" t="s">
        <v>70</v>
      </c>
    </row>
    <row r="114" spans="1:13">
      <c r="A114" s="2">
        <f t="shared" si="5"/>
        <v>111</v>
      </c>
      <c r="B114" s="59" t="s">
        <v>121</v>
      </c>
      <c r="C114" s="61" t="s">
        <v>104</v>
      </c>
      <c r="D114" s="48" t="s">
        <v>676</v>
      </c>
      <c r="E114" s="49" t="str">
        <f t="shared" si="6"/>
        <v>N</v>
      </c>
      <c r="F114" s="55">
        <v>3053.55</v>
      </c>
      <c r="G114" s="55">
        <v>0</v>
      </c>
      <c r="H114" s="55">
        <v>30000</v>
      </c>
      <c r="I114" s="55">
        <v>32.70796</v>
      </c>
      <c r="J114" s="96" t="str">
        <f t="shared" si="8"/>
        <v>▲10</v>
      </c>
      <c r="K114" s="49">
        <f t="shared" si="7"/>
        <v>121</v>
      </c>
      <c r="M114" s="63" t="s">
        <v>70</v>
      </c>
    </row>
    <row r="115" spans="1:13">
      <c r="A115" s="2">
        <f t="shared" si="5"/>
        <v>112</v>
      </c>
      <c r="B115" s="59" t="s">
        <v>299</v>
      </c>
      <c r="C115" s="61" t="s">
        <v>102</v>
      </c>
      <c r="D115" s="48" t="s">
        <v>676</v>
      </c>
      <c r="E115" s="49" t="str">
        <f t="shared" si="6"/>
        <v>N</v>
      </c>
      <c r="F115" s="55">
        <v>554.61</v>
      </c>
      <c r="G115" s="55">
        <v>53.8</v>
      </c>
      <c r="H115" s="55">
        <v>0</v>
      </c>
      <c r="I115" s="55">
        <v>27.582190000000001</v>
      </c>
      <c r="J115" s="96" t="str">
        <f t="shared" si="8"/>
        <v>▼8</v>
      </c>
      <c r="K115" s="49">
        <f t="shared" si="7"/>
        <v>104</v>
      </c>
      <c r="M115" s="63" t="s">
        <v>70</v>
      </c>
    </row>
    <row r="116" spans="1:13">
      <c r="A116" s="2">
        <f t="shared" si="5"/>
        <v>113</v>
      </c>
      <c r="B116" s="59" t="s">
        <v>462</v>
      </c>
      <c r="C116" s="61" t="s">
        <v>106</v>
      </c>
      <c r="D116" s="48" t="s">
        <v>676</v>
      </c>
      <c r="E116" s="49" t="str">
        <f t="shared" si="6"/>
        <v>N</v>
      </c>
      <c r="F116" s="55">
        <v>0</v>
      </c>
      <c r="G116" s="55">
        <v>0</v>
      </c>
      <c r="H116" s="55">
        <v>0</v>
      </c>
      <c r="I116" s="55">
        <v>21.512070000000001</v>
      </c>
      <c r="J116" s="96" t="str">
        <f t="shared" si="8"/>
        <v>▲8</v>
      </c>
      <c r="K116" s="49">
        <f t="shared" si="7"/>
        <v>121</v>
      </c>
      <c r="M116" s="63" t="s">
        <v>73</v>
      </c>
    </row>
    <row r="117" spans="1:13">
      <c r="A117" s="2">
        <f t="shared" si="5"/>
        <v>114</v>
      </c>
      <c r="B117" s="59" t="s">
        <v>376</v>
      </c>
      <c r="C117" s="61" t="s">
        <v>102</v>
      </c>
      <c r="D117" s="48" t="s">
        <v>676</v>
      </c>
      <c r="E117" s="49" t="str">
        <f t="shared" si="6"/>
        <v>N</v>
      </c>
      <c r="F117" s="55">
        <v>165.35</v>
      </c>
      <c r="G117" s="55">
        <v>0</v>
      </c>
      <c r="H117" s="55">
        <v>0</v>
      </c>
      <c r="I117" s="55">
        <v>18.506720000000001</v>
      </c>
      <c r="J117" s="96" t="str">
        <f t="shared" si="8"/>
        <v>▲7</v>
      </c>
      <c r="K117" s="49">
        <f t="shared" si="7"/>
        <v>121</v>
      </c>
      <c r="M117" s="63" t="s">
        <v>70</v>
      </c>
    </row>
    <row r="118" spans="1:13">
      <c r="A118" s="2">
        <f t="shared" si="5"/>
        <v>115</v>
      </c>
      <c r="B118" s="59" t="s">
        <v>290</v>
      </c>
      <c r="C118" s="61" t="s">
        <v>79</v>
      </c>
      <c r="D118" s="48" t="s">
        <v>676</v>
      </c>
      <c r="E118" s="49" t="str">
        <f t="shared" si="6"/>
        <v>N</v>
      </c>
      <c r="F118" s="55">
        <v>623.63</v>
      </c>
      <c r="G118" s="55">
        <v>225.86</v>
      </c>
      <c r="H118" s="55">
        <v>0</v>
      </c>
      <c r="I118" s="55">
        <v>10.17408</v>
      </c>
      <c r="J118" s="96" t="str">
        <f t="shared" si="8"/>
        <v>▼50</v>
      </c>
      <c r="K118" s="49">
        <f t="shared" si="7"/>
        <v>65</v>
      </c>
      <c r="M118" s="63" t="s">
        <v>70</v>
      </c>
    </row>
    <row r="119" spans="1:13">
      <c r="A119" s="2">
        <f t="shared" si="5"/>
        <v>116</v>
      </c>
      <c r="B119" s="59" t="s">
        <v>319</v>
      </c>
      <c r="C119" s="61" t="s">
        <v>104</v>
      </c>
      <c r="D119" s="48" t="s">
        <v>676</v>
      </c>
      <c r="E119" s="49" t="str">
        <f t="shared" si="6"/>
        <v>N</v>
      </c>
      <c r="F119" s="55">
        <v>394.61</v>
      </c>
      <c r="G119" s="55">
        <v>1.77</v>
      </c>
      <c r="H119" s="55">
        <v>0</v>
      </c>
      <c r="I119" s="55">
        <v>9.55044</v>
      </c>
      <c r="J119" s="96" t="str">
        <f t="shared" si="8"/>
        <v>-</v>
      </c>
      <c r="K119" s="49">
        <f t="shared" si="7"/>
        <v>116</v>
      </c>
      <c r="M119" s="43" t="s">
        <v>70</v>
      </c>
    </row>
    <row r="120" spans="1:13">
      <c r="A120" s="2">
        <f t="shared" si="5"/>
        <v>117</v>
      </c>
      <c r="B120" s="53" t="s">
        <v>125</v>
      </c>
      <c r="C120" s="62" t="s">
        <v>106</v>
      </c>
      <c r="D120" s="99" t="s">
        <v>677</v>
      </c>
      <c r="E120" s="49" t="str">
        <f t="shared" si="6"/>
        <v>N</v>
      </c>
      <c r="F120" s="55">
        <v>106.25</v>
      </c>
      <c r="G120" s="55">
        <v>0</v>
      </c>
      <c r="H120" s="55">
        <v>20000</v>
      </c>
      <c r="I120" s="55">
        <v>5.6396800000000002</v>
      </c>
      <c r="J120" s="96" t="str">
        <f t="shared" si="8"/>
        <v>▲4</v>
      </c>
      <c r="K120" s="49">
        <f t="shared" si="7"/>
        <v>121</v>
      </c>
      <c r="M120" s="43" t="s">
        <v>70</v>
      </c>
    </row>
    <row r="121" spans="1:13">
      <c r="A121" s="2">
        <f t="shared" si="5"/>
        <v>118</v>
      </c>
      <c r="B121" s="59" t="s">
        <v>430</v>
      </c>
      <c r="C121" s="35" t="s">
        <v>106</v>
      </c>
      <c r="D121" s="48" t="s">
        <v>676</v>
      </c>
      <c r="E121" s="49" t="str">
        <f t="shared" si="6"/>
        <v>N</v>
      </c>
      <c r="F121" s="55">
        <v>56.47</v>
      </c>
      <c r="G121" s="55">
        <v>0</v>
      </c>
      <c r="H121" s="55">
        <v>0</v>
      </c>
      <c r="I121" s="55">
        <v>4.3885699999999996</v>
      </c>
      <c r="J121" s="96" t="str">
        <f t="shared" si="8"/>
        <v>▲3</v>
      </c>
      <c r="K121" s="49">
        <f t="shared" si="7"/>
        <v>121</v>
      </c>
      <c r="M121" s="63" t="s">
        <v>73</v>
      </c>
    </row>
    <row r="122" spans="1:13">
      <c r="A122" s="2">
        <f t="shared" si="5"/>
        <v>119</v>
      </c>
      <c r="B122" s="59" t="s">
        <v>444</v>
      </c>
      <c r="C122" s="35" t="s">
        <v>102</v>
      </c>
      <c r="D122" s="48" t="s">
        <v>676</v>
      </c>
      <c r="E122" s="49" t="str">
        <f t="shared" si="6"/>
        <v>Y</v>
      </c>
      <c r="F122" s="55">
        <v>32.64</v>
      </c>
      <c r="G122" s="55">
        <v>0</v>
      </c>
      <c r="H122" s="55">
        <v>0</v>
      </c>
      <c r="I122" s="55">
        <v>1.1834</v>
      </c>
      <c r="J122" s="96" t="str">
        <f t="shared" si="8"/>
        <v>▲2</v>
      </c>
      <c r="K122" s="49">
        <f t="shared" si="7"/>
        <v>121</v>
      </c>
      <c r="M122" s="63" t="s">
        <v>81</v>
      </c>
    </row>
    <row r="123" spans="1:13">
      <c r="A123" s="2">
        <f t="shared" si="5"/>
        <v>120</v>
      </c>
      <c r="B123" s="59" t="s">
        <v>412</v>
      </c>
      <c r="C123" s="35" t="s">
        <v>102</v>
      </c>
      <c r="D123" s="48" t="s">
        <v>676</v>
      </c>
      <c r="E123" s="49" t="str">
        <f t="shared" si="6"/>
        <v>Y</v>
      </c>
      <c r="F123" s="55">
        <v>85.81</v>
      </c>
      <c r="G123" s="55">
        <v>0</v>
      </c>
      <c r="H123" s="55">
        <v>0</v>
      </c>
      <c r="I123" s="55">
        <v>1.15045</v>
      </c>
      <c r="J123" s="96" t="str">
        <f t="shared" si="8"/>
        <v>▲1</v>
      </c>
      <c r="K123" s="49">
        <f t="shared" si="7"/>
        <v>121</v>
      </c>
      <c r="M123" s="43" t="s">
        <v>81</v>
      </c>
    </row>
    <row r="124" spans="1:13">
      <c r="A124" s="2">
        <f t="shared" si="5"/>
        <v>121</v>
      </c>
      <c r="B124" s="59" t="s">
        <v>417</v>
      </c>
      <c r="C124" s="35" t="s">
        <v>106</v>
      </c>
      <c r="D124" s="48" t="s">
        <v>676</v>
      </c>
      <c r="E124" s="49" t="str">
        <f t="shared" si="6"/>
        <v>N</v>
      </c>
      <c r="F124" s="55">
        <v>78.62</v>
      </c>
      <c r="G124" s="55">
        <v>0</v>
      </c>
      <c r="H124" s="55">
        <v>0</v>
      </c>
      <c r="I124" s="55">
        <v>0.84138000000000002</v>
      </c>
      <c r="J124" s="96" t="str">
        <f t="shared" si="8"/>
        <v>-</v>
      </c>
      <c r="K124" s="49">
        <f t="shared" si="7"/>
        <v>121</v>
      </c>
      <c r="M124" s="43" t="s">
        <v>70</v>
      </c>
    </row>
    <row r="125" spans="1:13">
      <c r="A125" s="2">
        <f t="shared" si="5"/>
        <v>122</v>
      </c>
      <c r="B125" s="60" t="s">
        <v>99</v>
      </c>
      <c r="C125" s="62" t="s">
        <v>102</v>
      </c>
      <c r="D125" s="48" t="s">
        <v>676</v>
      </c>
      <c r="E125" s="49" t="str">
        <f t="shared" si="6"/>
        <v>N</v>
      </c>
      <c r="F125" s="55">
        <v>0</v>
      </c>
      <c r="G125" s="55">
        <v>0</v>
      </c>
      <c r="H125" s="55">
        <v>30000</v>
      </c>
      <c r="I125" s="55">
        <v>0</v>
      </c>
      <c r="J125" s="96" t="str">
        <f t="shared" si="8"/>
        <v>▼1</v>
      </c>
      <c r="K125" s="49">
        <f t="shared" si="7"/>
        <v>121</v>
      </c>
      <c r="M125" s="3" t="s">
        <v>73</v>
      </c>
    </row>
    <row r="126" spans="1:13">
      <c r="A126" s="2">
        <f t="shared" si="5"/>
        <v>122</v>
      </c>
      <c r="B126" s="54" t="s">
        <v>105</v>
      </c>
      <c r="C126" s="35" t="s">
        <v>106</v>
      </c>
      <c r="D126" s="48" t="s">
        <v>676</v>
      </c>
      <c r="E126" s="49" t="str">
        <f t="shared" si="6"/>
        <v>N</v>
      </c>
      <c r="F126" s="55">
        <v>0</v>
      </c>
      <c r="G126" s="55">
        <v>0</v>
      </c>
      <c r="H126" s="55">
        <v>30000</v>
      </c>
      <c r="I126" s="55">
        <v>0</v>
      </c>
      <c r="J126" s="96" t="str">
        <f t="shared" si="8"/>
        <v>▼1</v>
      </c>
      <c r="K126" s="49">
        <f t="shared" si="7"/>
        <v>121</v>
      </c>
      <c r="M126" s="3" t="s">
        <v>70</v>
      </c>
    </row>
    <row r="127" spans="1:13">
      <c r="A127" s="2">
        <f t="shared" si="5"/>
        <v>122</v>
      </c>
      <c r="B127" s="60" t="s">
        <v>124</v>
      </c>
      <c r="C127" s="62" t="s">
        <v>104</v>
      </c>
      <c r="D127" s="48" t="s">
        <v>676</v>
      </c>
      <c r="E127" s="49" t="str">
        <f t="shared" si="6"/>
        <v>N</v>
      </c>
      <c r="F127" s="55">
        <v>12697.68</v>
      </c>
      <c r="G127" s="55">
        <v>605.55999999999995</v>
      </c>
      <c r="H127" s="55">
        <v>20000</v>
      </c>
      <c r="I127" s="55">
        <v>0</v>
      </c>
      <c r="J127" s="96" t="str">
        <f t="shared" si="8"/>
        <v>▼80</v>
      </c>
      <c r="K127" s="49">
        <f t="shared" si="7"/>
        <v>42</v>
      </c>
      <c r="M127" s="64" t="s">
        <v>73</v>
      </c>
    </row>
    <row r="128" spans="1:13">
      <c r="A128" s="2">
        <f t="shared" si="5"/>
        <v>122</v>
      </c>
      <c r="B128" s="60" t="s">
        <v>101</v>
      </c>
      <c r="C128" s="62" t="s">
        <v>102</v>
      </c>
      <c r="D128" s="48" t="s">
        <v>676</v>
      </c>
      <c r="E128" s="49" t="str">
        <f t="shared" si="6"/>
        <v>N</v>
      </c>
      <c r="F128" s="55">
        <v>0</v>
      </c>
      <c r="G128" s="55">
        <v>0</v>
      </c>
      <c r="H128" s="55">
        <v>20000</v>
      </c>
      <c r="I128" s="55">
        <v>0</v>
      </c>
      <c r="J128" s="96" t="str">
        <f t="shared" si="8"/>
        <v>▼1</v>
      </c>
      <c r="K128" s="49">
        <f t="shared" si="7"/>
        <v>121</v>
      </c>
      <c r="M128" s="3" t="s">
        <v>70</v>
      </c>
    </row>
    <row r="129" spans="1:13">
      <c r="A129" s="2">
        <f t="shared" si="5"/>
        <v>122</v>
      </c>
      <c r="B129" s="54" t="s">
        <v>123</v>
      </c>
      <c r="C129" s="35" t="s">
        <v>102</v>
      </c>
      <c r="D129" s="48" t="s">
        <v>676</v>
      </c>
      <c r="E129" s="49" t="str">
        <f t="shared" si="6"/>
        <v>N</v>
      </c>
      <c r="F129" s="55">
        <v>0</v>
      </c>
      <c r="G129" s="55">
        <v>0</v>
      </c>
      <c r="H129" s="55">
        <v>10000</v>
      </c>
      <c r="I129" s="55">
        <v>0</v>
      </c>
      <c r="J129" s="96" t="str">
        <f t="shared" si="8"/>
        <v>▼1</v>
      </c>
      <c r="K129" s="49">
        <f t="shared" si="7"/>
        <v>121</v>
      </c>
      <c r="M129" s="3" t="s">
        <v>70</v>
      </c>
    </row>
    <row r="130" spans="1:13">
      <c r="A130" s="2">
        <f t="shared" si="5"/>
        <v>122</v>
      </c>
      <c r="B130" s="54" t="s">
        <v>468</v>
      </c>
      <c r="C130" s="35" t="s">
        <v>102</v>
      </c>
      <c r="D130" s="48" t="s">
        <v>676</v>
      </c>
      <c r="E130" s="49" t="str">
        <f t="shared" si="6"/>
        <v>N</v>
      </c>
      <c r="F130" s="55">
        <v>0</v>
      </c>
      <c r="G130" s="55">
        <v>0</v>
      </c>
      <c r="H130" s="55">
        <v>10000</v>
      </c>
      <c r="I130" s="55">
        <v>0</v>
      </c>
      <c r="J130" s="96" t="str">
        <f t="shared" si="8"/>
        <v>▼1</v>
      </c>
      <c r="K130" s="49">
        <f t="shared" si="7"/>
        <v>121</v>
      </c>
      <c r="M130" s="3" t="s">
        <v>70</v>
      </c>
    </row>
    <row r="131" spans="1:13">
      <c r="A131" s="2">
        <f t="shared" si="5"/>
        <v>122</v>
      </c>
      <c r="B131" s="60" t="s">
        <v>201</v>
      </c>
      <c r="C131" s="62" t="s">
        <v>104</v>
      </c>
      <c r="D131" s="48" t="s">
        <v>676</v>
      </c>
      <c r="E131" s="49" t="str">
        <f t="shared" si="6"/>
        <v>Y</v>
      </c>
      <c r="F131" s="55">
        <v>11953.57</v>
      </c>
      <c r="G131" s="55">
        <v>9251</v>
      </c>
      <c r="H131" s="55">
        <v>0</v>
      </c>
      <c r="I131" s="55">
        <v>0</v>
      </c>
      <c r="J131" s="96" t="str">
        <f t="shared" si="8"/>
        <v>▼116</v>
      </c>
      <c r="K131" s="49">
        <f t="shared" si="7"/>
        <v>6</v>
      </c>
      <c r="M131" s="64" t="s">
        <v>81</v>
      </c>
    </row>
    <row r="132" spans="1:13">
      <c r="A132" s="2">
        <f t="shared" ref="A132:A195" si="9">RANK(I132,$I$4:$I$999)</f>
        <v>122</v>
      </c>
      <c r="B132" s="54" t="s">
        <v>215</v>
      </c>
      <c r="C132" s="35" t="s">
        <v>102</v>
      </c>
      <c r="D132" s="48" t="s">
        <v>676</v>
      </c>
      <c r="E132" s="49" t="str">
        <f t="shared" ref="E132:E195" si="10">IF(M132=" 三线城市及其他 ","Y","N")</f>
        <v>Y</v>
      </c>
      <c r="F132" s="55">
        <v>3807.5</v>
      </c>
      <c r="G132" s="55">
        <v>2041.04</v>
      </c>
      <c r="H132" s="55">
        <v>0</v>
      </c>
      <c r="I132" s="55">
        <v>0</v>
      </c>
      <c r="J132" s="96" t="str">
        <f t="shared" si="8"/>
        <v>▼105</v>
      </c>
      <c r="K132" s="49">
        <f t="shared" ref="K132:K195" si="11">RANK(G132,$G$4:$G$999)</f>
        <v>17</v>
      </c>
      <c r="M132" s="64" t="s">
        <v>81</v>
      </c>
    </row>
    <row r="133" spans="1:13">
      <c r="A133" s="2">
        <f t="shared" si="9"/>
        <v>122</v>
      </c>
      <c r="B133" s="54" t="s">
        <v>231</v>
      </c>
      <c r="C133" s="35" t="s">
        <v>102</v>
      </c>
      <c r="D133" s="48" t="s">
        <v>676</v>
      </c>
      <c r="E133" s="49" t="str">
        <f t="shared" si="10"/>
        <v>N</v>
      </c>
      <c r="F133" s="55">
        <v>2325.3200000000002</v>
      </c>
      <c r="G133" s="55">
        <v>632.15</v>
      </c>
      <c r="H133" s="55">
        <v>0</v>
      </c>
      <c r="I133" s="55">
        <v>0</v>
      </c>
      <c r="J133" s="96" t="str">
        <f t="shared" ref="J133:J196" si="12">IF(K133="","-",IF(A133=K133,"-",IF(A133&lt;K133,"▲"&amp;K133-A133,"▼"&amp;A133-K133)))</f>
        <v>▼83</v>
      </c>
      <c r="K133" s="49">
        <f t="shared" si="11"/>
        <v>39</v>
      </c>
      <c r="M133" s="3" t="s">
        <v>73</v>
      </c>
    </row>
    <row r="134" spans="1:13">
      <c r="A134" s="2">
        <f t="shared" si="9"/>
        <v>122</v>
      </c>
      <c r="B134" s="54" t="s">
        <v>234</v>
      </c>
      <c r="C134" s="35" t="s">
        <v>104</v>
      </c>
      <c r="D134" s="48" t="s">
        <v>676</v>
      </c>
      <c r="E134" s="49" t="str">
        <f t="shared" si="10"/>
        <v>Y</v>
      </c>
      <c r="F134" s="55">
        <v>2244.38</v>
      </c>
      <c r="G134" s="55">
        <v>0</v>
      </c>
      <c r="H134" s="55">
        <v>0</v>
      </c>
      <c r="I134" s="55">
        <v>0</v>
      </c>
      <c r="J134" s="96" t="str">
        <f t="shared" si="12"/>
        <v>▼1</v>
      </c>
      <c r="K134" s="49">
        <f t="shared" si="11"/>
        <v>121</v>
      </c>
      <c r="M134" s="64" t="s">
        <v>81</v>
      </c>
    </row>
    <row r="135" spans="1:13">
      <c r="A135" s="2">
        <f t="shared" si="9"/>
        <v>122</v>
      </c>
      <c r="B135" s="54" t="s">
        <v>242</v>
      </c>
      <c r="C135" s="35" t="s">
        <v>102</v>
      </c>
      <c r="D135" s="48" t="s">
        <v>676</v>
      </c>
      <c r="E135" s="49" t="str">
        <f t="shared" si="10"/>
        <v>N</v>
      </c>
      <c r="F135" s="55">
        <v>1934.76</v>
      </c>
      <c r="G135" s="55">
        <v>1004.66</v>
      </c>
      <c r="H135" s="55">
        <v>0</v>
      </c>
      <c r="I135" s="55">
        <v>0</v>
      </c>
      <c r="J135" s="96" t="str">
        <f t="shared" si="12"/>
        <v>▼92</v>
      </c>
      <c r="K135" s="49">
        <f t="shared" si="11"/>
        <v>30</v>
      </c>
      <c r="M135" s="3" t="s">
        <v>70</v>
      </c>
    </row>
    <row r="136" spans="1:13">
      <c r="A136" s="2">
        <f t="shared" si="9"/>
        <v>122</v>
      </c>
      <c r="B136" s="54" t="s">
        <v>250</v>
      </c>
      <c r="C136" s="35" t="s">
        <v>102</v>
      </c>
      <c r="D136" s="48" t="s">
        <v>676</v>
      </c>
      <c r="E136" s="49" t="str">
        <f t="shared" si="10"/>
        <v>Y</v>
      </c>
      <c r="F136" s="55">
        <v>1538.55</v>
      </c>
      <c r="G136" s="55">
        <v>0</v>
      </c>
      <c r="H136" s="55">
        <v>0</v>
      </c>
      <c r="I136" s="55">
        <v>0</v>
      </c>
      <c r="J136" s="96" t="str">
        <f t="shared" si="12"/>
        <v>▼1</v>
      </c>
      <c r="K136" s="49">
        <f t="shared" si="11"/>
        <v>121</v>
      </c>
      <c r="M136" s="64" t="s">
        <v>81</v>
      </c>
    </row>
    <row r="137" spans="1:13">
      <c r="A137" s="2">
        <f t="shared" si="9"/>
        <v>122</v>
      </c>
      <c r="B137" s="60" t="s">
        <v>126</v>
      </c>
      <c r="C137" s="62" t="s">
        <v>104</v>
      </c>
      <c r="D137" s="48" t="s">
        <v>676</v>
      </c>
      <c r="E137" s="49" t="str">
        <f t="shared" si="10"/>
        <v>N</v>
      </c>
      <c r="F137" s="55">
        <v>1534.25</v>
      </c>
      <c r="G137" s="55">
        <v>0</v>
      </c>
      <c r="H137" s="55">
        <v>0</v>
      </c>
      <c r="I137" s="55">
        <v>0</v>
      </c>
      <c r="J137" s="96" t="str">
        <f t="shared" si="12"/>
        <v>▼1</v>
      </c>
      <c r="K137" s="49">
        <f t="shared" si="11"/>
        <v>121</v>
      </c>
      <c r="M137" s="3" t="s">
        <v>70</v>
      </c>
    </row>
    <row r="138" spans="1:13">
      <c r="A138" s="2">
        <f t="shared" si="9"/>
        <v>122</v>
      </c>
      <c r="B138" s="54" t="s">
        <v>258</v>
      </c>
      <c r="C138" s="35" t="s">
        <v>102</v>
      </c>
      <c r="D138" s="48" t="s">
        <v>676</v>
      </c>
      <c r="E138" s="49" t="str">
        <f t="shared" si="10"/>
        <v>N</v>
      </c>
      <c r="F138" s="55">
        <v>1253.24</v>
      </c>
      <c r="G138" s="55">
        <v>1253.24</v>
      </c>
      <c r="H138" s="55">
        <v>0</v>
      </c>
      <c r="I138" s="55">
        <v>0</v>
      </c>
      <c r="J138" s="96" t="str">
        <f t="shared" si="12"/>
        <v>▼98</v>
      </c>
      <c r="K138" s="49">
        <f t="shared" si="11"/>
        <v>24</v>
      </c>
      <c r="M138" s="3" t="s">
        <v>70</v>
      </c>
    </row>
    <row r="139" spans="1:13">
      <c r="A139" s="2">
        <f t="shared" si="9"/>
        <v>122</v>
      </c>
      <c r="B139" s="54" t="s">
        <v>259</v>
      </c>
      <c r="C139" s="35" t="s">
        <v>102</v>
      </c>
      <c r="D139" s="48" t="s">
        <v>676</v>
      </c>
      <c r="E139" s="49" t="str">
        <f t="shared" si="10"/>
        <v>Y</v>
      </c>
      <c r="F139" s="55">
        <v>1247.27</v>
      </c>
      <c r="G139" s="55">
        <v>1247.27</v>
      </c>
      <c r="H139" s="55">
        <v>0</v>
      </c>
      <c r="I139" s="55">
        <v>0</v>
      </c>
      <c r="J139" s="96" t="str">
        <f t="shared" si="12"/>
        <v>▼97</v>
      </c>
      <c r="K139" s="49">
        <f t="shared" si="11"/>
        <v>25</v>
      </c>
      <c r="M139" s="3" t="s">
        <v>81</v>
      </c>
    </row>
    <row r="140" spans="1:13">
      <c r="A140" s="2">
        <f t="shared" si="9"/>
        <v>215</v>
      </c>
      <c r="B140" s="60" t="s">
        <v>272</v>
      </c>
      <c r="C140" s="62" t="s">
        <v>102</v>
      </c>
      <c r="D140" s="48" t="s">
        <v>676</v>
      </c>
      <c r="E140" s="49" t="str">
        <f t="shared" si="10"/>
        <v>Y</v>
      </c>
      <c r="F140" s="55">
        <v>897.87</v>
      </c>
      <c r="G140" s="55">
        <v>271.54000000000002</v>
      </c>
      <c r="H140" s="55">
        <v>0</v>
      </c>
      <c r="I140" s="55">
        <v>-1.0000000000000001E-5</v>
      </c>
      <c r="J140" s="96" t="str">
        <f t="shared" si="12"/>
        <v>▼154</v>
      </c>
      <c r="K140" s="49">
        <f t="shared" si="11"/>
        <v>61</v>
      </c>
      <c r="M140" s="64" t="s">
        <v>81</v>
      </c>
    </row>
    <row r="141" spans="1:13">
      <c r="A141" s="2">
        <f t="shared" si="9"/>
        <v>122</v>
      </c>
      <c r="B141" s="60" t="s">
        <v>277</v>
      </c>
      <c r="C141" s="62" t="s">
        <v>106</v>
      </c>
      <c r="D141" s="48" t="s">
        <v>676</v>
      </c>
      <c r="E141" s="49" t="str">
        <f t="shared" si="10"/>
        <v>N</v>
      </c>
      <c r="F141" s="55">
        <v>824.79</v>
      </c>
      <c r="G141" s="55">
        <v>168.88</v>
      </c>
      <c r="H141" s="55">
        <v>0</v>
      </c>
      <c r="I141" s="55">
        <v>0</v>
      </c>
      <c r="J141" s="96" t="str">
        <f t="shared" si="12"/>
        <v>▼42</v>
      </c>
      <c r="K141" s="49">
        <f t="shared" si="11"/>
        <v>80</v>
      </c>
      <c r="M141" s="64" t="s">
        <v>70</v>
      </c>
    </row>
    <row r="142" spans="1:13">
      <c r="A142" s="2">
        <f t="shared" si="9"/>
        <v>122</v>
      </c>
      <c r="B142" s="60" t="s">
        <v>280</v>
      </c>
      <c r="C142" s="62" t="s">
        <v>106</v>
      </c>
      <c r="D142" s="48" t="s">
        <v>676</v>
      </c>
      <c r="E142" s="49" t="str">
        <f t="shared" si="10"/>
        <v>Y</v>
      </c>
      <c r="F142" s="55">
        <v>765.11</v>
      </c>
      <c r="G142" s="55">
        <v>0</v>
      </c>
      <c r="H142" s="55">
        <v>0</v>
      </c>
      <c r="I142" s="55">
        <v>0</v>
      </c>
      <c r="J142" s="96" t="str">
        <f t="shared" si="12"/>
        <v>▼1</v>
      </c>
      <c r="K142" s="49">
        <f t="shared" si="11"/>
        <v>121</v>
      </c>
      <c r="M142" s="3" t="s">
        <v>81</v>
      </c>
    </row>
    <row r="143" spans="1:13">
      <c r="A143" s="2">
        <f t="shared" si="9"/>
        <v>122</v>
      </c>
      <c r="B143" s="54" t="s">
        <v>284</v>
      </c>
      <c r="C143" s="35" t="s">
        <v>102</v>
      </c>
      <c r="D143" s="48" t="s">
        <v>676</v>
      </c>
      <c r="E143" s="49" t="str">
        <f t="shared" si="10"/>
        <v>N</v>
      </c>
      <c r="F143" s="55">
        <v>709.17</v>
      </c>
      <c r="G143" s="55">
        <v>240.96</v>
      </c>
      <c r="H143" s="55">
        <v>0</v>
      </c>
      <c r="I143" s="55">
        <v>0</v>
      </c>
      <c r="J143" s="96" t="str">
        <f t="shared" si="12"/>
        <v>▼59</v>
      </c>
      <c r="K143" s="49">
        <f t="shared" si="11"/>
        <v>63</v>
      </c>
      <c r="M143" s="64" t="s">
        <v>70</v>
      </c>
    </row>
    <row r="144" spans="1:13">
      <c r="A144" s="2">
        <f t="shared" si="9"/>
        <v>122</v>
      </c>
      <c r="B144" s="54" t="s">
        <v>286</v>
      </c>
      <c r="C144" s="35" t="s">
        <v>102</v>
      </c>
      <c r="D144" s="48" t="s">
        <v>676</v>
      </c>
      <c r="E144" s="49" t="str">
        <f t="shared" si="10"/>
        <v>N</v>
      </c>
      <c r="F144" s="55">
        <v>700.55</v>
      </c>
      <c r="G144" s="55">
        <v>700.55</v>
      </c>
      <c r="H144" s="55">
        <v>0</v>
      </c>
      <c r="I144" s="55">
        <v>0</v>
      </c>
      <c r="J144" s="96" t="str">
        <f t="shared" si="12"/>
        <v>▼85</v>
      </c>
      <c r="K144" s="49">
        <f t="shared" si="11"/>
        <v>37</v>
      </c>
      <c r="M144" s="3" t="s">
        <v>70</v>
      </c>
    </row>
    <row r="145" spans="1:13">
      <c r="A145" s="2">
        <f t="shared" si="9"/>
        <v>122</v>
      </c>
      <c r="B145" s="54" t="s">
        <v>287</v>
      </c>
      <c r="C145" s="35" t="s">
        <v>102</v>
      </c>
      <c r="D145" s="48" t="s">
        <v>676</v>
      </c>
      <c r="E145" s="49" t="str">
        <f t="shared" si="10"/>
        <v>N</v>
      </c>
      <c r="F145" s="55">
        <v>651.6</v>
      </c>
      <c r="G145" s="55">
        <v>75.61</v>
      </c>
      <c r="H145" s="55">
        <v>0</v>
      </c>
      <c r="I145" s="55">
        <v>0</v>
      </c>
      <c r="J145" s="96" t="str">
        <f t="shared" si="12"/>
        <v>▼22</v>
      </c>
      <c r="K145" s="49">
        <f t="shared" si="11"/>
        <v>100</v>
      </c>
      <c r="M145" s="3" t="s">
        <v>73</v>
      </c>
    </row>
    <row r="146" spans="1:13">
      <c r="A146" s="2">
        <f t="shared" si="9"/>
        <v>122</v>
      </c>
      <c r="B146" s="54" t="s">
        <v>288</v>
      </c>
      <c r="C146" s="35" t="s">
        <v>102</v>
      </c>
      <c r="D146" s="48" t="s">
        <v>676</v>
      </c>
      <c r="E146" s="49" t="str">
        <f t="shared" si="10"/>
        <v>N</v>
      </c>
      <c r="F146" s="55">
        <v>643.83000000000004</v>
      </c>
      <c r="G146" s="55">
        <v>366.93</v>
      </c>
      <c r="H146" s="55">
        <v>0</v>
      </c>
      <c r="I146" s="55">
        <v>0</v>
      </c>
      <c r="J146" s="96" t="str">
        <f t="shared" si="12"/>
        <v>▼71</v>
      </c>
      <c r="K146" s="49">
        <f t="shared" si="11"/>
        <v>51</v>
      </c>
      <c r="M146" s="3" t="s">
        <v>70</v>
      </c>
    </row>
    <row r="147" spans="1:13">
      <c r="A147" s="2">
        <f t="shared" si="9"/>
        <v>122</v>
      </c>
      <c r="B147" s="54" t="s">
        <v>294</v>
      </c>
      <c r="C147" s="35" t="s">
        <v>102</v>
      </c>
      <c r="D147" s="48" t="s">
        <v>676</v>
      </c>
      <c r="E147" s="49" t="str">
        <f t="shared" si="10"/>
        <v>Y</v>
      </c>
      <c r="F147" s="55">
        <v>610.37</v>
      </c>
      <c r="G147" s="55">
        <v>0</v>
      </c>
      <c r="H147" s="55">
        <v>0</v>
      </c>
      <c r="I147" s="55">
        <v>0</v>
      </c>
      <c r="J147" s="96" t="str">
        <f t="shared" si="12"/>
        <v>▼1</v>
      </c>
      <c r="K147" s="49">
        <f t="shared" si="11"/>
        <v>121</v>
      </c>
      <c r="M147" s="3" t="s">
        <v>81</v>
      </c>
    </row>
    <row r="148" spans="1:13">
      <c r="A148" s="2">
        <f t="shared" si="9"/>
        <v>122</v>
      </c>
      <c r="B148" s="54" t="s">
        <v>295</v>
      </c>
      <c r="C148" s="35" t="s">
        <v>102</v>
      </c>
      <c r="D148" s="48" t="s">
        <v>676</v>
      </c>
      <c r="E148" s="49" t="str">
        <f t="shared" si="10"/>
        <v>Y</v>
      </c>
      <c r="F148" s="55">
        <v>601.41</v>
      </c>
      <c r="G148" s="55">
        <v>360.93</v>
      </c>
      <c r="H148" s="55">
        <v>0</v>
      </c>
      <c r="I148" s="55">
        <v>0</v>
      </c>
      <c r="J148" s="96" t="str">
        <f t="shared" si="12"/>
        <v>▼69</v>
      </c>
      <c r="K148" s="49">
        <f t="shared" si="11"/>
        <v>53</v>
      </c>
      <c r="M148" s="64" t="s">
        <v>81</v>
      </c>
    </row>
    <row r="149" spans="1:13">
      <c r="A149" s="2">
        <f t="shared" si="9"/>
        <v>122</v>
      </c>
      <c r="B149" s="54" t="s">
        <v>296</v>
      </c>
      <c r="C149" s="35" t="s">
        <v>102</v>
      </c>
      <c r="D149" s="48" t="s">
        <v>676</v>
      </c>
      <c r="E149" s="49" t="str">
        <f t="shared" si="10"/>
        <v>N</v>
      </c>
      <c r="F149" s="55">
        <v>570.36</v>
      </c>
      <c r="G149" s="55">
        <v>44.04</v>
      </c>
      <c r="H149" s="55">
        <v>0</v>
      </c>
      <c r="I149" s="55">
        <v>0</v>
      </c>
      <c r="J149" s="96" t="str">
        <f t="shared" si="12"/>
        <v>▼12</v>
      </c>
      <c r="K149" s="49">
        <f t="shared" si="11"/>
        <v>110</v>
      </c>
      <c r="M149" s="64" t="s">
        <v>70</v>
      </c>
    </row>
    <row r="150" spans="1:13">
      <c r="A150" s="2">
        <f t="shared" si="9"/>
        <v>122</v>
      </c>
      <c r="B150" s="54" t="s">
        <v>303</v>
      </c>
      <c r="C150" s="35" t="s">
        <v>102</v>
      </c>
      <c r="D150" s="48" t="s">
        <v>676</v>
      </c>
      <c r="E150" s="49" t="str">
        <f t="shared" si="10"/>
        <v>N</v>
      </c>
      <c r="F150" s="55">
        <v>546.61</v>
      </c>
      <c r="G150" s="55">
        <v>128.30000000000001</v>
      </c>
      <c r="H150" s="55">
        <v>0</v>
      </c>
      <c r="I150" s="55">
        <v>0</v>
      </c>
      <c r="J150" s="96" t="str">
        <f t="shared" si="12"/>
        <v>▼36</v>
      </c>
      <c r="K150" s="49">
        <f t="shared" si="11"/>
        <v>86</v>
      </c>
      <c r="M150" s="64" t="s">
        <v>73</v>
      </c>
    </row>
    <row r="151" spans="1:13">
      <c r="A151" s="2">
        <f t="shared" si="9"/>
        <v>122</v>
      </c>
      <c r="B151" s="54" t="s">
        <v>305</v>
      </c>
      <c r="C151" s="35" t="s">
        <v>102</v>
      </c>
      <c r="D151" s="48" t="s">
        <v>676</v>
      </c>
      <c r="E151" s="49" t="str">
        <f t="shared" si="10"/>
        <v>Y</v>
      </c>
      <c r="F151" s="55">
        <v>535.95000000000005</v>
      </c>
      <c r="G151" s="55">
        <v>302.72000000000003</v>
      </c>
      <c r="H151" s="55">
        <v>0</v>
      </c>
      <c r="I151" s="55">
        <v>0</v>
      </c>
      <c r="J151" s="96" t="str">
        <f t="shared" si="12"/>
        <v>▼63</v>
      </c>
      <c r="K151" s="49">
        <f t="shared" si="11"/>
        <v>59</v>
      </c>
      <c r="M151" s="3" t="s">
        <v>81</v>
      </c>
    </row>
    <row r="152" spans="1:13">
      <c r="A152" s="2">
        <f t="shared" si="9"/>
        <v>122</v>
      </c>
      <c r="B152" s="54" t="s">
        <v>307</v>
      </c>
      <c r="C152" s="35" t="s">
        <v>104</v>
      </c>
      <c r="D152" s="48" t="s">
        <v>676</v>
      </c>
      <c r="E152" s="49" t="str">
        <f t="shared" si="10"/>
        <v>Y</v>
      </c>
      <c r="F152" s="55">
        <v>522.21</v>
      </c>
      <c r="G152" s="55">
        <v>485.92</v>
      </c>
      <c r="H152" s="55">
        <v>0</v>
      </c>
      <c r="I152" s="55">
        <v>0</v>
      </c>
      <c r="J152" s="96" t="str">
        <f t="shared" si="12"/>
        <v>▼75</v>
      </c>
      <c r="K152" s="49">
        <f t="shared" si="11"/>
        <v>47</v>
      </c>
      <c r="M152" s="3" t="s">
        <v>81</v>
      </c>
    </row>
    <row r="153" spans="1:13">
      <c r="A153" s="2">
        <f t="shared" si="9"/>
        <v>122</v>
      </c>
      <c r="B153" s="54" t="s">
        <v>314</v>
      </c>
      <c r="C153" s="35" t="s">
        <v>102</v>
      </c>
      <c r="D153" s="48" t="s">
        <v>676</v>
      </c>
      <c r="E153" s="49" t="str">
        <f t="shared" si="10"/>
        <v>N</v>
      </c>
      <c r="F153" s="55">
        <v>408.28</v>
      </c>
      <c r="G153" s="55">
        <v>161.57</v>
      </c>
      <c r="H153" s="55">
        <v>0</v>
      </c>
      <c r="I153" s="55">
        <v>0</v>
      </c>
      <c r="J153" s="96" t="str">
        <f t="shared" si="12"/>
        <v>▼40</v>
      </c>
      <c r="K153" s="49">
        <f t="shared" si="11"/>
        <v>82</v>
      </c>
      <c r="M153" s="3" t="s">
        <v>73</v>
      </c>
    </row>
    <row r="154" spans="1:13">
      <c r="A154" s="2">
        <f t="shared" si="9"/>
        <v>122</v>
      </c>
      <c r="B154" s="54" t="s">
        <v>316</v>
      </c>
      <c r="C154" s="35" t="s">
        <v>106</v>
      </c>
      <c r="D154" s="48" t="s">
        <v>676</v>
      </c>
      <c r="E154" s="49" t="str">
        <f t="shared" si="10"/>
        <v>Y</v>
      </c>
      <c r="F154" s="55">
        <v>406.24</v>
      </c>
      <c r="G154" s="55">
        <v>85.25</v>
      </c>
      <c r="H154" s="55">
        <v>0</v>
      </c>
      <c r="I154" s="55">
        <v>0</v>
      </c>
      <c r="J154" s="96" t="str">
        <f t="shared" si="12"/>
        <v>▼25</v>
      </c>
      <c r="K154" s="49">
        <f t="shared" si="11"/>
        <v>97</v>
      </c>
      <c r="M154" s="64" t="s">
        <v>81</v>
      </c>
    </row>
    <row r="155" spans="1:13">
      <c r="A155" s="2">
        <f t="shared" si="9"/>
        <v>122</v>
      </c>
      <c r="B155" s="54" t="s">
        <v>317</v>
      </c>
      <c r="C155" s="35" t="s">
        <v>102</v>
      </c>
      <c r="D155" s="48" t="s">
        <v>676</v>
      </c>
      <c r="E155" s="49" t="str">
        <f t="shared" si="10"/>
        <v>N</v>
      </c>
      <c r="F155" s="55">
        <v>396.54</v>
      </c>
      <c r="G155" s="55">
        <v>84.63</v>
      </c>
      <c r="H155" s="55">
        <v>0</v>
      </c>
      <c r="I155" s="55">
        <v>0</v>
      </c>
      <c r="J155" s="96" t="str">
        <f t="shared" si="12"/>
        <v>▼24</v>
      </c>
      <c r="K155" s="49">
        <f t="shared" si="11"/>
        <v>98</v>
      </c>
      <c r="M155" s="3" t="s">
        <v>70</v>
      </c>
    </row>
    <row r="156" spans="1:13">
      <c r="A156" s="2">
        <f t="shared" si="9"/>
        <v>122</v>
      </c>
      <c r="B156" s="54" t="s">
        <v>322</v>
      </c>
      <c r="C156" s="35" t="s">
        <v>102</v>
      </c>
      <c r="D156" s="48" t="s">
        <v>676</v>
      </c>
      <c r="E156" s="49" t="str">
        <f t="shared" si="10"/>
        <v>N</v>
      </c>
      <c r="F156" s="55">
        <v>385.95</v>
      </c>
      <c r="G156" s="55">
        <v>0</v>
      </c>
      <c r="H156" s="55">
        <v>0</v>
      </c>
      <c r="I156" s="55">
        <v>0</v>
      </c>
      <c r="J156" s="96" t="str">
        <f t="shared" si="12"/>
        <v>▼1</v>
      </c>
      <c r="K156" s="49">
        <f t="shared" si="11"/>
        <v>121</v>
      </c>
      <c r="M156" s="64" t="s">
        <v>70</v>
      </c>
    </row>
    <row r="157" spans="1:13">
      <c r="A157" s="2">
        <f t="shared" si="9"/>
        <v>122</v>
      </c>
      <c r="B157" s="60" t="s">
        <v>323</v>
      </c>
      <c r="C157" s="62" t="s">
        <v>102</v>
      </c>
      <c r="D157" s="48" t="s">
        <v>676</v>
      </c>
      <c r="E157" s="49" t="str">
        <f t="shared" si="10"/>
        <v>N</v>
      </c>
      <c r="F157" s="55">
        <v>384.93</v>
      </c>
      <c r="G157" s="55">
        <v>200.8</v>
      </c>
      <c r="H157" s="55">
        <v>0</v>
      </c>
      <c r="I157" s="55">
        <v>0</v>
      </c>
      <c r="J157" s="96" t="str">
        <f t="shared" si="12"/>
        <v>▼53</v>
      </c>
      <c r="K157" s="49">
        <f t="shared" si="11"/>
        <v>69</v>
      </c>
      <c r="M157" s="64" t="s">
        <v>70</v>
      </c>
    </row>
    <row r="158" spans="1:13">
      <c r="A158" s="2">
        <f t="shared" si="9"/>
        <v>122</v>
      </c>
      <c r="B158" s="54" t="s">
        <v>328</v>
      </c>
      <c r="C158" s="35" t="s">
        <v>102</v>
      </c>
      <c r="D158" s="48" t="s">
        <v>676</v>
      </c>
      <c r="E158" s="49" t="str">
        <f t="shared" si="10"/>
        <v>N</v>
      </c>
      <c r="F158" s="55">
        <v>355.64</v>
      </c>
      <c r="G158" s="55">
        <v>0</v>
      </c>
      <c r="H158" s="55">
        <v>0</v>
      </c>
      <c r="I158" s="55">
        <v>0</v>
      </c>
      <c r="J158" s="96" t="str">
        <f t="shared" si="12"/>
        <v>▼1</v>
      </c>
      <c r="K158" s="49">
        <f t="shared" si="11"/>
        <v>121</v>
      </c>
      <c r="M158" s="64" t="s">
        <v>70</v>
      </c>
    </row>
    <row r="159" spans="1:13">
      <c r="A159" s="2">
        <f t="shared" si="9"/>
        <v>122</v>
      </c>
      <c r="B159" s="54" t="s">
        <v>329</v>
      </c>
      <c r="C159" s="35" t="s">
        <v>104</v>
      </c>
      <c r="D159" s="48" t="s">
        <v>676</v>
      </c>
      <c r="E159" s="49" t="str">
        <f t="shared" si="10"/>
        <v>N</v>
      </c>
      <c r="F159" s="55">
        <v>342.68</v>
      </c>
      <c r="G159" s="55">
        <v>0</v>
      </c>
      <c r="H159" s="55">
        <v>0</v>
      </c>
      <c r="I159" s="55">
        <v>0</v>
      </c>
      <c r="J159" s="96" t="str">
        <f t="shared" si="12"/>
        <v>▼1</v>
      </c>
      <c r="K159" s="49">
        <f t="shared" si="11"/>
        <v>121</v>
      </c>
      <c r="M159" s="3" t="s">
        <v>70</v>
      </c>
    </row>
    <row r="160" spans="1:13">
      <c r="A160" s="2">
        <f t="shared" si="9"/>
        <v>122</v>
      </c>
      <c r="B160" s="54" t="s">
        <v>332</v>
      </c>
      <c r="C160" s="35" t="s">
        <v>102</v>
      </c>
      <c r="D160" s="48" t="s">
        <v>676</v>
      </c>
      <c r="E160" s="49" t="str">
        <f t="shared" si="10"/>
        <v>N</v>
      </c>
      <c r="F160" s="55">
        <v>333.55</v>
      </c>
      <c r="G160" s="55">
        <v>86.83</v>
      </c>
      <c r="H160" s="55">
        <v>0</v>
      </c>
      <c r="I160" s="55">
        <v>0</v>
      </c>
      <c r="J160" s="96" t="str">
        <f t="shared" si="12"/>
        <v>▼27</v>
      </c>
      <c r="K160" s="49">
        <f t="shared" si="11"/>
        <v>95</v>
      </c>
      <c r="M160" s="3" t="s">
        <v>70</v>
      </c>
    </row>
    <row r="161" spans="1:13">
      <c r="A161" s="2">
        <f t="shared" si="9"/>
        <v>122</v>
      </c>
      <c r="B161" s="54" t="s">
        <v>339</v>
      </c>
      <c r="C161" s="35" t="s">
        <v>102</v>
      </c>
      <c r="D161" s="48" t="s">
        <v>676</v>
      </c>
      <c r="E161" s="49" t="str">
        <f t="shared" si="10"/>
        <v>N</v>
      </c>
      <c r="F161" s="55">
        <v>303.44</v>
      </c>
      <c r="G161" s="55">
        <v>196.36</v>
      </c>
      <c r="H161" s="55">
        <v>0</v>
      </c>
      <c r="I161" s="55">
        <v>0</v>
      </c>
      <c r="J161" s="96" t="str">
        <f t="shared" si="12"/>
        <v>▼51</v>
      </c>
      <c r="K161" s="49">
        <f t="shared" si="11"/>
        <v>71</v>
      </c>
      <c r="M161" s="3" t="s">
        <v>70</v>
      </c>
    </row>
    <row r="162" spans="1:13">
      <c r="A162" s="2">
        <f t="shared" si="9"/>
        <v>122</v>
      </c>
      <c r="B162" s="54" t="s">
        <v>340</v>
      </c>
      <c r="C162" s="35" t="s">
        <v>102</v>
      </c>
      <c r="D162" s="48" t="s">
        <v>676</v>
      </c>
      <c r="E162" s="49" t="str">
        <f t="shared" si="10"/>
        <v>N</v>
      </c>
      <c r="F162" s="55">
        <v>301.27999999999997</v>
      </c>
      <c r="G162" s="55">
        <v>0</v>
      </c>
      <c r="H162" s="55">
        <v>0</v>
      </c>
      <c r="I162" s="55">
        <v>0</v>
      </c>
      <c r="J162" s="96" t="str">
        <f t="shared" si="12"/>
        <v>▼1</v>
      </c>
      <c r="K162" s="49">
        <f t="shared" si="11"/>
        <v>121</v>
      </c>
      <c r="M162" s="3" t="s">
        <v>73</v>
      </c>
    </row>
    <row r="163" spans="1:13">
      <c r="A163" s="2">
        <f t="shared" si="9"/>
        <v>122</v>
      </c>
      <c r="B163" s="54" t="s">
        <v>342</v>
      </c>
      <c r="C163" s="35" t="s">
        <v>102</v>
      </c>
      <c r="D163" s="48" t="s">
        <v>676</v>
      </c>
      <c r="E163" s="49" t="str">
        <f t="shared" si="10"/>
        <v>N</v>
      </c>
      <c r="F163" s="55">
        <v>300.83</v>
      </c>
      <c r="G163" s="55">
        <v>193.31</v>
      </c>
      <c r="H163" s="55">
        <v>0</v>
      </c>
      <c r="I163" s="55">
        <v>0</v>
      </c>
      <c r="J163" s="96" t="str">
        <f t="shared" si="12"/>
        <v>▼49</v>
      </c>
      <c r="K163" s="49">
        <f t="shared" si="11"/>
        <v>73</v>
      </c>
      <c r="M163" s="3" t="s">
        <v>73</v>
      </c>
    </row>
    <row r="164" spans="1:13">
      <c r="A164" s="2">
        <f t="shared" si="9"/>
        <v>122</v>
      </c>
      <c r="B164" s="54" t="s">
        <v>343</v>
      </c>
      <c r="C164" s="35" t="s">
        <v>102</v>
      </c>
      <c r="D164" s="48" t="s">
        <v>676</v>
      </c>
      <c r="E164" s="49" t="str">
        <f t="shared" si="10"/>
        <v>N</v>
      </c>
      <c r="F164" s="55">
        <v>293.39</v>
      </c>
      <c r="G164" s="55">
        <v>0</v>
      </c>
      <c r="H164" s="55">
        <v>0</v>
      </c>
      <c r="I164" s="55">
        <v>0</v>
      </c>
      <c r="J164" s="96" t="str">
        <f t="shared" si="12"/>
        <v>▼1</v>
      </c>
      <c r="K164" s="49">
        <f t="shared" si="11"/>
        <v>121</v>
      </c>
      <c r="M164" s="3" t="s">
        <v>73</v>
      </c>
    </row>
    <row r="165" spans="1:13">
      <c r="A165" s="2">
        <f t="shared" si="9"/>
        <v>122</v>
      </c>
      <c r="B165" s="54" t="s">
        <v>344</v>
      </c>
      <c r="C165" s="35" t="s">
        <v>102</v>
      </c>
      <c r="D165" s="48" t="s">
        <v>676</v>
      </c>
      <c r="E165" s="49" t="str">
        <f t="shared" si="10"/>
        <v>N</v>
      </c>
      <c r="F165" s="55">
        <v>290.76</v>
      </c>
      <c r="G165" s="55">
        <v>0</v>
      </c>
      <c r="H165" s="55">
        <v>0</v>
      </c>
      <c r="I165" s="55">
        <v>0</v>
      </c>
      <c r="J165" s="96" t="str">
        <f t="shared" si="12"/>
        <v>▼1</v>
      </c>
      <c r="K165" s="49">
        <f t="shared" si="11"/>
        <v>121</v>
      </c>
      <c r="M165" s="3" t="s">
        <v>73</v>
      </c>
    </row>
    <row r="166" spans="1:13">
      <c r="A166" s="2">
        <f t="shared" si="9"/>
        <v>122</v>
      </c>
      <c r="B166" s="54" t="s">
        <v>345</v>
      </c>
      <c r="C166" s="35" t="s">
        <v>102</v>
      </c>
      <c r="D166" s="48" t="s">
        <v>676</v>
      </c>
      <c r="E166" s="49" t="str">
        <f t="shared" si="10"/>
        <v>Y</v>
      </c>
      <c r="F166" s="55">
        <v>287.33</v>
      </c>
      <c r="G166" s="55">
        <v>0</v>
      </c>
      <c r="H166" s="55">
        <v>0</v>
      </c>
      <c r="I166" s="55">
        <v>0</v>
      </c>
      <c r="J166" s="96" t="str">
        <f t="shared" si="12"/>
        <v>▼1</v>
      </c>
      <c r="K166" s="49">
        <f t="shared" si="11"/>
        <v>121</v>
      </c>
      <c r="M166" s="3" t="s">
        <v>81</v>
      </c>
    </row>
    <row r="167" spans="1:13">
      <c r="A167" s="2">
        <f t="shared" si="9"/>
        <v>122</v>
      </c>
      <c r="B167" s="54" t="s">
        <v>348</v>
      </c>
      <c r="C167" s="35" t="s">
        <v>79</v>
      </c>
      <c r="D167" s="48" t="s">
        <v>676</v>
      </c>
      <c r="E167" s="49" t="str">
        <f t="shared" si="10"/>
        <v>Y</v>
      </c>
      <c r="F167" s="55">
        <v>264.76</v>
      </c>
      <c r="G167" s="55">
        <v>0</v>
      </c>
      <c r="H167" s="55">
        <v>0</v>
      </c>
      <c r="I167" s="55">
        <v>0</v>
      </c>
      <c r="J167" s="96" t="str">
        <f t="shared" si="12"/>
        <v>▼1</v>
      </c>
      <c r="K167" s="49">
        <f t="shared" si="11"/>
        <v>121</v>
      </c>
      <c r="M167" s="3" t="s">
        <v>81</v>
      </c>
    </row>
    <row r="168" spans="1:13">
      <c r="A168" s="2">
        <f t="shared" si="9"/>
        <v>122</v>
      </c>
      <c r="B168" s="54" t="s">
        <v>350</v>
      </c>
      <c r="C168" s="35" t="s">
        <v>79</v>
      </c>
      <c r="D168" s="48" t="s">
        <v>676</v>
      </c>
      <c r="E168" s="49" t="str">
        <f t="shared" si="10"/>
        <v>Y</v>
      </c>
      <c r="F168" s="55">
        <v>255.09</v>
      </c>
      <c r="G168" s="55">
        <v>0</v>
      </c>
      <c r="H168" s="55">
        <v>0</v>
      </c>
      <c r="I168" s="55">
        <v>0</v>
      </c>
      <c r="J168" s="96" t="str">
        <f t="shared" si="12"/>
        <v>▼1</v>
      </c>
      <c r="K168" s="49">
        <f t="shared" si="11"/>
        <v>121</v>
      </c>
      <c r="M168" s="64" t="s">
        <v>81</v>
      </c>
    </row>
    <row r="169" spans="1:13">
      <c r="A169" s="2">
        <f t="shared" si="9"/>
        <v>122</v>
      </c>
      <c r="B169" s="54" t="s">
        <v>356</v>
      </c>
      <c r="C169" s="35" t="s">
        <v>102</v>
      </c>
      <c r="D169" s="48" t="s">
        <v>676</v>
      </c>
      <c r="E169" s="49" t="str">
        <f t="shared" si="10"/>
        <v>N</v>
      </c>
      <c r="F169" s="55">
        <v>227.4</v>
      </c>
      <c r="G169" s="55">
        <v>0</v>
      </c>
      <c r="H169" s="55">
        <v>0</v>
      </c>
      <c r="I169" s="55">
        <v>0</v>
      </c>
      <c r="J169" s="96" t="str">
        <f t="shared" si="12"/>
        <v>▼1</v>
      </c>
      <c r="K169" s="49">
        <f t="shared" si="11"/>
        <v>121</v>
      </c>
      <c r="M169" s="3" t="s">
        <v>73</v>
      </c>
    </row>
    <row r="170" spans="1:13">
      <c r="A170" s="2">
        <f t="shared" si="9"/>
        <v>122</v>
      </c>
      <c r="B170" s="54" t="s">
        <v>357</v>
      </c>
      <c r="C170" s="35" t="s">
        <v>106</v>
      </c>
      <c r="D170" s="48" t="s">
        <v>676</v>
      </c>
      <c r="E170" s="49" t="str">
        <f t="shared" si="10"/>
        <v>N</v>
      </c>
      <c r="F170" s="55">
        <v>227.26</v>
      </c>
      <c r="G170" s="55">
        <v>0</v>
      </c>
      <c r="H170" s="55">
        <v>0</v>
      </c>
      <c r="I170" s="55">
        <v>0</v>
      </c>
      <c r="J170" s="96" t="str">
        <f t="shared" si="12"/>
        <v>▼1</v>
      </c>
      <c r="K170" s="49">
        <f t="shared" si="11"/>
        <v>121</v>
      </c>
      <c r="M170" s="3" t="s">
        <v>70</v>
      </c>
    </row>
    <row r="171" spans="1:13">
      <c r="A171" s="2">
        <f t="shared" si="9"/>
        <v>122</v>
      </c>
      <c r="B171" s="60" t="s">
        <v>359</v>
      </c>
      <c r="C171" s="62" t="s">
        <v>102</v>
      </c>
      <c r="D171" s="48" t="s">
        <v>676</v>
      </c>
      <c r="E171" s="49" t="str">
        <f t="shared" si="10"/>
        <v>N</v>
      </c>
      <c r="F171" s="55">
        <v>202.22</v>
      </c>
      <c r="G171" s="55">
        <v>0</v>
      </c>
      <c r="H171" s="55">
        <v>0</v>
      </c>
      <c r="I171" s="55">
        <v>0</v>
      </c>
      <c r="J171" s="96" t="str">
        <f t="shared" si="12"/>
        <v>▼1</v>
      </c>
      <c r="K171" s="49">
        <f t="shared" si="11"/>
        <v>121</v>
      </c>
      <c r="M171" s="3" t="s">
        <v>70</v>
      </c>
    </row>
    <row r="172" spans="1:13">
      <c r="A172" s="2">
        <f t="shared" si="9"/>
        <v>122</v>
      </c>
      <c r="B172" s="54" t="s">
        <v>361</v>
      </c>
      <c r="C172" s="35" t="s">
        <v>102</v>
      </c>
      <c r="D172" s="48" t="s">
        <v>676</v>
      </c>
      <c r="E172" s="49" t="str">
        <f t="shared" si="10"/>
        <v>N</v>
      </c>
      <c r="F172" s="55">
        <v>198.58</v>
      </c>
      <c r="G172" s="55">
        <v>0</v>
      </c>
      <c r="H172" s="55">
        <v>0</v>
      </c>
      <c r="I172" s="55">
        <v>0</v>
      </c>
      <c r="J172" s="96" t="str">
        <f t="shared" si="12"/>
        <v>▼1</v>
      </c>
      <c r="K172" s="49">
        <f t="shared" si="11"/>
        <v>121</v>
      </c>
      <c r="M172" s="3" t="s">
        <v>70</v>
      </c>
    </row>
    <row r="173" spans="1:13">
      <c r="A173" s="2">
        <f t="shared" si="9"/>
        <v>122</v>
      </c>
      <c r="B173" s="54" t="s">
        <v>363</v>
      </c>
      <c r="C173" s="35" t="s">
        <v>102</v>
      </c>
      <c r="D173" s="48" t="s">
        <v>676</v>
      </c>
      <c r="E173" s="49" t="str">
        <f t="shared" si="10"/>
        <v>N</v>
      </c>
      <c r="F173" s="55">
        <v>195.15</v>
      </c>
      <c r="G173" s="55">
        <v>1.26</v>
      </c>
      <c r="H173" s="55">
        <v>0</v>
      </c>
      <c r="I173" s="55">
        <v>0</v>
      </c>
      <c r="J173" s="96" t="str">
        <f t="shared" si="12"/>
        <v>▼4</v>
      </c>
      <c r="K173" s="49">
        <f t="shared" si="11"/>
        <v>118</v>
      </c>
      <c r="M173" s="3" t="s">
        <v>70</v>
      </c>
    </row>
    <row r="174" spans="1:13">
      <c r="A174" s="2">
        <f t="shared" si="9"/>
        <v>122</v>
      </c>
      <c r="B174" s="54" t="s">
        <v>366</v>
      </c>
      <c r="C174" s="35" t="s">
        <v>104</v>
      </c>
      <c r="D174" s="48" t="s">
        <v>676</v>
      </c>
      <c r="E174" s="49" t="str">
        <f t="shared" si="10"/>
        <v>N</v>
      </c>
      <c r="F174" s="55">
        <v>191.75</v>
      </c>
      <c r="G174" s="55">
        <v>172.69</v>
      </c>
      <c r="H174" s="55">
        <v>0</v>
      </c>
      <c r="I174" s="55">
        <v>0</v>
      </c>
      <c r="J174" s="96" t="str">
        <f t="shared" si="12"/>
        <v>▼44</v>
      </c>
      <c r="K174" s="49">
        <f t="shared" si="11"/>
        <v>78</v>
      </c>
      <c r="M174" s="64" t="s">
        <v>70</v>
      </c>
    </row>
    <row r="175" spans="1:13">
      <c r="A175" s="2">
        <f t="shared" si="9"/>
        <v>122</v>
      </c>
      <c r="B175" s="54" t="s">
        <v>368</v>
      </c>
      <c r="C175" s="35" t="s">
        <v>102</v>
      </c>
      <c r="D175" s="48" t="s">
        <v>676</v>
      </c>
      <c r="E175" s="49" t="str">
        <f t="shared" si="10"/>
        <v>N</v>
      </c>
      <c r="F175" s="55">
        <v>190.75</v>
      </c>
      <c r="G175" s="55">
        <v>190.75</v>
      </c>
      <c r="H175" s="55">
        <v>0</v>
      </c>
      <c r="I175" s="55">
        <v>0</v>
      </c>
      <c r="J175" s="96" t="str">
        <f t="shared" si="12"/>
        <v>▼48</v>
      </c>
      <c r="K175" s="49">
        <f t="shared" si="11"/>
        <v>74</v>
      </c>
      <c r="M175" s="64" t="s">
        <v>70</v>
      </c>
    </row>
    <row r="176" spans="1:13">
      <c r="A176" s="2">
        <f t="shared" si="9"/>
        <v>122</v>
      </c>
      <c r="B176" s="54" t="s">
        <v>371</v>
      </c>
      <c r="C176" s="35" t="s">
        <v>104</v>
      </c>
      <c r="D176" s="48" t="s">
        <v>676</v>
      </c>
      <c r="E176" s="49" t="str">
        <f t="shared" si="10"/>
        <v>Y</v>
      </c>
      <c r="F176" s="55">
        <v>177.08</v>
      </c>
      <c r="G176" s="55">
        <v>0</v>
      </c>
      <c r="H176" s="55">
        <v>0</v>
      </c>
      <c r="I176" s="55">
        <v>0</v>
      </c>
      <c r="J176" s="96" t="str">
        <f t="shared" si="12"/>
        <v>▼1</v>
      </c>
      <c r="K176" s="49">
        <f t="shared" si="11"/>
        <v>121</v>
      </c>
      <c r="M176" s="3" t="s">
        <v>81</v>
      </c>
    </row>
    <row r="177" spans="1:13">
      <c r="A177" s="2">
        <f t="shared" si="9"/>
        <v>122</v>
      </c>
      <c r="B177" s="60" t="s">
        <v>372</v>
      </c>
      <c r="C177" s="62" t="s">
        <v>104</v>
      </c>
      <c r="D177" s="48" t="s">
        <v>676</v>
      </c>
      <c r="E177" s="49" t="str">
        <f t="shared" si="10"/>
        <v>N</v>
      </c>
      <c r="F177" s="55">
        <v>175.37</v>
      </c>
      <c r="G177" s="55">
        <v>0</v>
      </c>
      <c r="H177" s="55">
        <v>0</v>
      </c>
      <c r="I177" s="55">
        <v>0</v>
      </c>
      <c r="J177" s="96" t="str">
        <f t="shared" si="12"/>
        <v>▼1</v>
      </c>
      <c r="K177" s="49">
        <f t="shared" si="11"/>
        <v>121</v>
      </c>
      <c r="M177" s="64" t="s">
        <v>73</v>
      </c>
    </row>
    <row r="178" spans="1:13">
      <c r="A178" s="2">
        <f t="shared" si="9"/>
        <v>122</v>
      </c>
      <c r="B178" s="54" t="s">
        <v>373</v>
      </c>
      <c r="C178" s="35" t="s">
        <v>102</v>
      </c>
      <c r="D178" s="48" t="s">
        <v>676</v>
      </c>
      <c r="E178" s="49" t="str">
        <f t="shared" si="10"/>
        <v>N</v>
      </c>
      <c r="F178" s="55">
        <v>173.98</v>
      </c>
      <c r="G178" s="55">
        <v>86.83</v>
      </c>
      <c r="H178" s="55">
        <v>0</v>
      </c>
      <c r="I178" s="55">
        <v>0</v>
      </c>
      <c r="J178" s="96" t="str">
        <f t="shared" si="12"/>
        <v>▼27</v>
      </c>
      <c r="K178" s="49">
        <f t="shared" si="11"/>
        <v>95</v>
      </c>
      <c r="M178" s="64" t="s">
        <v>70</v>
      </c>
    </row>
    <row r="179" spans="1:13">
      <c r="A179" s="2">
        <f t="shared" si="9"/>
        <v>122</v>
      </c>
      <c r="B179" s="54" t="s">
        <v>375</v>
      </c>
      <c r="C179" s="35" t="s">
        <v>79</v>
      </c>
      <c r="D179" s="48" t="s">
        <v>676</v>
      </c>
      <c r="E179" s="49" t="str">
        <f t="shared" si="10"/>
        <v>N</v>
      </c>
      <c r="F179" s="55">
        <v>166.8</v>
      </c>
      <c r="G179" s="55">
        <v>0</v>
      </c>
      <c r="H179" s="55">
        <v>0</v>
      </c>
      <c r="I179" s="55">
        <v>0</v>
      </c>
      <c r="J179" s="96" t="str">
        <f t="shared" si="12"/>
        <v>▼1</v>
      </c>
      <c r="K179" s="49">
        <f t="shared" si="11"/>
        <v>121</v>
      </c>
      <c r="M179" s="3" t="s">
        <v>70</v>
      </c>
    </row>
    <row r="180" spans="1:13">
      <c r="A180" s="2">
        <f t="shared" si="9"/>
        <v>122</v>
      </c>
      <c r="B180" s="54" t="s">
        <v>380</v>
      </c>
      <c r="C180" s="35" t="s">
        <v>102</v>
      </c>
      <c r="D180" s="48" t="s">
        <v>676</v>
      </c>
      <c r="E180" s="49" t="str">
        <f t="shared" si="10"/>
        <v>N</v>
      </c>
      <c r="F180" s="55">
        <v>155.37</v>
      </c>
      <c r="G180" s="55">
        <v>155.37</v>
      </c>
      <c r="H180" s="55">
        <v>0</v>
      </c>
      <c r="I180" s="55">
        <v>0</v>
      </c>
      <c r="J180" s="96" t="str">
        <f t="shared" si="12"/>
        <v>▼39</v>
      </c>
      <c r="K180" s="49">
        <f t="shared" si="11"/>
        <v>83</v>
      </c>
      <c r="M180" s="3" t="s">
        <v>73</v>
      </c>
    </row>
    <row r="181" spans="1:13">
      <c r="A181" s="2">
        <f t="shared" si="9"/>
        <v>122</v>
      </c>
      <c r="B181" s="54" t="s">
        <v>382</v>
      </c>
      <c r="C181" s="35" t="s">
        <v>102</v>
      </c>
      <c r="D181" s="48" t="s">
        <v>676</v>
      </c>
      <c r="E181" s="49" t="str">
        <f t="shared" si="10"/>
        <v>N</v>
      </c>
      <c r="F181" s="55">
        <v>149.97999999999999</v>
      </c>
      <c r="G181" s="55">
        <v>149.97999999999999</v>
      </c>
      <c r="H181" s="55">
        <v>0</v>
      </c>
      <c r="I181" s="55">
        <v>0</v>
      </c>
      <c r="J181" s="96" t="str">
        <f t="shared" si="12"/>
        <v>▼38</v>
      </c>
      <c r="K181" s="49">
        <f t="shared" si="11"/>
        <v>84</v>
      </c>
      <c r="M181" s="3" t="s">
        <v>70</v>
      </c>
    </row>
    <row r="182" spans="1:13">
      <c r="A182" s="2">
        <f t="shared" si="9"/>
        <v>122</v>
      </c>
      <c r="B182" s="54" t="s">
        <v>384</v>
      </c>
      <c r="C182" s="35" t="s">
        <v>102</v>
      </c>
      <c r="D182" s="48" t="s">
        <v>676</v>
      </c>
      <c r="E182" s="49" t="str">
        <f t="shared" si="10"/>
        <v>N</v>
      </c>
      <c r="F182" s="55">
        <v>149.21</v>
      </c>
      <c r="G182" s="55">
        <v>0</v>
      </c>
      <c r="H182" s="55">
        <v>0</v>
      </c>
      <c r="I182" s="55">
        <v>0</v>
      </c>
      <c r="J182" s="96" t="str">
        <f t="shared" si="12"/>
        <v>▼1</v>
      </c>
      <c r="K182" s="49">
        <f t="shared" si="11"/>
        <v>121</v>
      </c>
      <c r="M182" s="3" t="s">
        <v>73</v>
      </c>
    </row>
    <row r="183" spans="1:13">
      <c r="A183" s="2">
        <f t="shared" si="9"/>
        <v>122</v>
      </c>
      <c r="B183" s="60" t="s">
        <v>387</v>
      </c>
      <c r="C183" s="35" t="s">
        <v>106</v>
      </c>
      <c r="D183" s="48" t="s">
        <v>676</v>
      </c>
      <c r="E183" s="49" t="str">
        <f t="shared" si="10"/>
        <v>N</v>
      </c>
      <c r="F183" s="55">
        <v>147.65</v>
      </c>
      <c r="G183" s="55">
        <v>54.75</v>
      </c>
      <c r="H183" s="55">
        <v>0</v>
      </c>
      <c r="I183" s="55">
        <v>0</v>
      </c>
      <c r="J183" s="96" t="str">
        <f t="shared" si="12"/>
        <v>▼20</v>
      </c>
      <c r="K183" s="49">
        <f t="shared" si="11"/>
        <v>102</v>
      </c>
      <c r="M183" s="3" t="s">
        <v>73</v>
      </c>
    </row>
    <row r="184" spans="1:13">
      <c r="A184" s="2">
        <f t="shared" si="9"/>
        <v>122</v>
      </c>
      <c r="B184" s="54" t="s">
        <v>392</v>
      </c>
      <c r="C184" s="35" t="s">
        <v>102</v>
      </c>
      <c r="D184" s="48" t="s">
        <v>676</v>
      </c>
      <c r="E184" s="49" t="str">
        <f t="shared" si="10"/>
        <v>N</v>
      </c>
      <c r="F184" s="55">
        <v>146.03</v>
      </c>
      <c r="G184" s="55">
        <v>0</v>
      </c>
      <c r="H184" s="55">
        <v>0</v>
      </c>
      <c r="I184" s="55">
        <v>0</v>
      </c>
      <c r="J184" s="96" t="str">
        <f t="shared" si="12"/>
        <v>▼1</v>
      </c>
      <c r="K184" s="49">
        <f t="shared" si="11"/>
        <v>121</v>
      </c>
      <c r="M184" s="3" t="s">
        <v>70</v>
      </c>
    </row>
    <row r="185" spans="1:13">
      <c r="A185" s="2">
        <f t="shared" si="9"/>
        <v>122</v>
      </c>
      <c r="B185" s="54" t="s">
        <v>393</v>
      </c>
      <c r="C185" s="35" t="s">
        <v>102</v>
      </c>
      <c r="D185" s="48" t="s">
        <v>676</v>
      </c>
      <c r="E185" s="49" t="str">
        <f t="shared" si="10"/>
        <v>N</v>
      </c>
      <c r="F185" s="55">
        <v>137.85</v>
      </c>
      <c r="G185" s="55">
        <v>0.62</v>
      </c>
      <c r="H185" s="55">
        <v>0</v>
      </c>
      <c r="I185" s="55">
        <v>0</v>
      </c>
      <c r="J185" s="96" t="str">
        <f t="shared" si="12"/>
        <v>▼2</v>
      </c>
      <c r="K185" s="49">
        <f t="shared" si="11"/>
        <v>120</v>
      </c>
      <c r="M185" s="3" t="s">
        <v>73</v>
      </c>
    </row>
    <row r="186" spans="1:13">
      <c r="A186" s="2">
        <f t="shared" si="9"/>
        <v>122</v>
      </c>
      <c r="B186" s="54" t="s">
        <v>394</v>
      </c>
      <c r="C186" s="35" t="s">
        <v>104</v>
      </c>
      <c r="D186" s="48" t="s">
        <v>676</v>
      </c>
      <c r="E186" s="49" t="str">
        <f t="shared" si="10"/>
        <v>N</v>
      </c>
      <c r="F186" s="55">
        <v>136.34</v>
      </c>
      <c r="G186" s="55">
        <v>0</v>
      </c>
      <c r="H186" s="55">
        <v>0</v>
      </c>
      <c r="I186" s="55">
        <v>0</v>
      </c>
      <c r="J186" s="96" t="str">
        <f t="shared" si="12"/>
        <v>▼1</v>
      </c>
      <c r="K186" s="49">
        <f t="shared" si="11"/>
        <v>121</v>
      </c>
      <c r="M186" s="3" t="s">
        <v>70</v>
      </c>
    </row>
    <row r="187" spans="1:13">
      <c r="A187" s="2">
        <f t="shared" si="9"/>
        <v>122</v>
      </c>
      <c r="B187" s="54" t="s">
        <v>396</v>
      </c>
      <c r="C187" s="35" t="s">
        <v>104</v>
      </c>
      <c r="D187" s="48" t="s">
        <v>676</v>
      </c>
      <c r="E187" s="49" t="str">
        <f t="shared" si="10"/>
        <v>Y</v>
      </c>
      <c r="F187" s="55">
        <v>129.63999999999999</v>
      </c>
      <c r="G187" s="55">
        <v>0</v>
      </c>
      <c r="H187" s="55">
        <v>0</v>
      </c>
      <c r="I187" s="55">
        <v>0</v>
      </c>
      <c r="J187" s="96" t="str">
        <f t="shared" si="12"/>
        <v>▼1</v>
      </c>
      <c r="K187" s="49">
        <f t="shared" si="11"/>
        <v>121</v>
      </c>
      <c r="M187" s="64" t="s">
        <v>81</v>
      </c>
    </row>
    <row r="188" spans="1:13">
      <c r="A188" s="2">
        <f t="shared" si="9"/>
        <v>122</v>
      </c>
      <c r="B188" s="54" t="s">
        <v>397</v>
      </c>
      <c r="C188" s="35" t="s">
        <v>106</v>
      </c>
      <c r="D188" s="48" t="s">
        <v>676</v>
      </c>
      <c r="E188" s="49" t="str">
        <f t="shared" si="10"/>
        <v>Y</v>
      </c>
      <c r="F188" s="55">
        <v>121.93</v>
      </c>
      <c r="G188" s="55">
        <v>0</v>
      </c>
      <c r="H188" s="55">
        <v>0</v>
      </c>
      <c r="I188" s="55">
        <v>0</v>
      </c>
      <c r="J188" s="96" t="str">
        <f t="shared" si="12"/>
        <v>▼1</v>
      </c>
      <c r="K188" s="49">
        <f t="shared" si="11"/>
        <v>121</v>
      </c>
      <c r="M188" s="3" t="s">
        <v>81</v>
      </c>
    </row>
    <row r="189" spans="1:13">
      <c r="A189" s="2">
        <f t="shared" si="9"/>
        <v>122</v>
      </c>
      <c r="B189" s="54" t="s">
        <v>398</v>
      </c>
      <c r="C189" s="35" t="s">
        <v>102</v>
      </c>
      <c r="D189" s="48" t="s">
        <v>676</v>
      </c>
      <c r="E189" s="49" t="str">
        <f t="shared" si="10"/>
        <v>N</v>
      </c>
      <c r="F189" s="55">
        <v>121.09</v>
      </c>
      <c r="G189" s="55">
        <v>0</v>
      </c>
      <c r="H189" s="55">
        <v>0</v>
      </c>
      <c r="I189" s="55">
        <v>0</v>
      </c>
      <c r="J189" s="96" t="str">
        <f t="shared" si="12"/>
        <v>▼1</v>
      </c>
      <c r="K189" s="49">
        <f t="shared" si="11"/>
        <v>121</v>
      </c>
      <c r="M189" s="3" t="s">
        <v>73</v>
      </c>
    </row>
    <row r="190" spans="1:13">
      <c r="A190" s="2">
        <f t="shared" si="9"/>
        <v>122</v>
      </c>
      <c r="B190" s="54" t="s">
        <v>399</v>
      </c>
      <c r="C190" s="35" t="s">
        <v>106</v>
      </c>
      <c r="D190" s="48" t="s">
        <v>676</v>
      </c>
      <c r="E190" s="49" t="str">
        <f t="shared" si="10"/>
        <v>N</v>
      </c>
      <c r="F190" s="55">
        <v>117.5</v>
      </c>
      <c r="G190" s="55">
        <v>62.32</v>
      </c>
      <c r="H190" s="55">
        <v>0</v>
      </c>
      <c r="I190" s="55">
        <v>0</v>
      </c>
      <c r="J190" s="96" t="str">
        <f t="shared" si="12"/>
        <v>▼21</v>
      </c>
      <c r="K190" s="49">
        <f t="shared" si="11"/>
        <v>101</v>
      </c>
      <c r="M190" s="3" t="s">
        <v>70</v>
      </c>
    </row>
    <row r="191" spans="1:13">
      <c r="A191" s="2">
        <f t="shared" si="9"/>
        <v>122</v>
      </c>
      <c r="B191" s="54" t="s">
        <v>401</v>
      </c>
      <c r="C191" s="35" t="s">
        <v>106</v>
      </c>
      <c r="D191" s="48" t="s">
        <v>676</v>
      </c>
      <c r="E191" s="49" t="str">
        <f t="shared" si="10"/>
        <v>N</v>
      </c>
      <c r="F191" s="55">
        <v>114.74</v>
      </c>
      <c r="G191" s="55">
        <v>114.74</v>
      </c>
      <c r="H191" s="55">
        <v>0</v>
      </c>
      <c r="I191" s="55">
        <v>0</v>
      </c>
      <c r="J191" s="96" t="str">
        <f t="shared" si="12"/>
        <v>▼32</v>
      </c>
      <c r="K191" s="49">
        <f t="shared" si="11"/>
        <v>90</v>
      </c>
      <c r="M191" s="3" t="s">
        <v>73</v>
      </c>
    </row>
    <row r="192" spans="1:13">
      <c r="A192" s="2">
        <f t="shared" si="9"/>
        <v>216</v>
      </c>
      <c r="B192" s="60" t="s">
        <v>403</v>
      </c>
      <c r="C192" s="35" t="s">
        <v>106</v>
      </c>
      <c r="D192" s="48" t="s">
        <v>676</v>
      </c>
      <c r="E192" s="49" t="str">
        <f t="shared" si="10"/>
        <v>N</v>
      </c>
      <c r="F192" s="55">
        <v>112.76</v>
      </c>
      <c r="G192" s="55">
        <v>0</v>
      </c>
      <c r="H192" s="55">
        <v>0</v>
      </c>
      <c r="I192" s="55">
        <v>-2.0000000000000002E-5</v>
      </c>
      <c r="J192" s="96" t="str">
        <f t="shared" si="12"/>
        <v>▼95</v>
      </c>
      <c r="K192" s="49">
        <f t="shared" si="11"/>
        <v>121</v>
      </c>
      <c r="M192" s="3" t="s">
        <v>73</v>
      </c>
    </row>
    <row r="193" spans="1:13">
      <c r="A193" s="2">
        <f t="shared" si="9"/>
        <v>122</v>
      </c>
      <c r="B193" s="54" t="s">
        <v>407</v>
      </c>
      <c r="C193" s="35" t="s">
        <v>102</v>
      </c>
      <c r="D193" s="48" t="s">
        <v>676</v>
      </c>
      <c r="E193" s="49" t="str">
        <f t="shared" si="10"/>
        <v>N</v>
      </c>
      <c r="F193" s="55">
        <v>103.46</v>
      </c>
      <c r="G193" s="55">
        <v>0</v>
      </c>
      <c r="H193" s="55">
        <v>0</v>
      </c>
      <c r="I193" s="55">
        <v>0</v>
      </c>
      <c r="J193" s="96" t="str">
        <f t="shared" si="12"/>
        <v>▼1</v>
      </c>
      <c r="K193" s="49">
        <f t="shared" si="11"/>
        <v>121</v>
      </c>
      <c r="M193" s="3" t="s">
        <v>70</v>
      </c>
    </row>
    <row r="194" spans="1:13">
      <c r="A194" s="2">
        <f t="shared" si="9"/>
        <v>122</v>
      </c>
      <c r="B194" s="54" t="s">
        <v>409</v>
      </c>
      <c r="C194" s="35" t="s">
        <v>79</v>
      </c>
      <c r="D194" s="48" t="s">
        <v>676</v>
      </c>
      <c r="E194" s="49" t="str">
        <f t="shared" si="10"/>
        <v>N</v>
      </c>
      <c r="F194" s="55">
        <v>98.04</v>
      </c>
      <c r="G194" s="55">
        <v>0</v>
      </c>
      <c r="H194" s="55">
        <v>0</v>
      </c>
      <c r="I194" s="55">
        <v>0</v>
      </c>
      <c r="J194" s="96" t="str">
        <f t="shared" si="12"/>
        <v>▼1</v>
      </c>
      <c r="K194" s="49">
        <f t="shared" si="11"/>
        <v>121</v>
      </c>
      <c r="M194" s="3" t="s">
        <v>70</v>
      </c>
    </row>
    <row r="195" spans="1:13">
      <c r="A195" s="2">
        <f t="shared" si="9"/>
        <v>122</v>
      </c>
      <c r="B195" s="54" t="s">
        <v>410</v>
      </c>
      <c r="C195" s="35" t="s">
        <v>106</v>
      </c>
      <c r="D195" s="48" t="s">
        <v>676</v>
      </c>
      <c r="E195" s="49" t="str">
        <f t="shared" si="10"/>
        <v>Y</v>
      </c>
      <c r="F195" s="55">
        <v>91.36</v>
      </c>
      <c r="G195" s="55">
        <v>0</v>
      </c>
      <c r="H195" s="55">
        <v>0</v>
      </c>
      <c r="I195" s="55">
        <v>0</v>
      </c>
      <c r="J195" s="96" t="str">
        <f t="shared" si="12"/>
        <v>▼1</v>
      </c>
      <c r="K195" s="49">
        <f t="shared" si="11"/>
        <v>121</v>
      </c>
      <c r="M195" s="3" t="s">
        <v>81</v>
      </c>
    </row>
    <row r="196" spans="1:13">
      <c r="A196" s="2">
        <f t="shared" ref="A196:A220" si="13">RANK(I196,$I$4:$I$999)</f>
        <v>122</v>
      </c>
      <c r="B196" s="54" t="s">
        <v>411</v>
      </c>
      <c r="C196" s="35" t="s">
        <v>102</v>
      </c>
      <c r="D196" s="48" t="s">
        <v>676</v>
      </c>
      <c r="E196" s="49" t="str">
        <f t="shared" ref="E196:E220" si="14">IF(M196=" 三线城市及其他 ","Y","N")</f>
        <v>N</v>
      </c>
      <c r="F196" s="55">
        <v>85.84</v>
      </c>
      <c r="G196" s="55">
        <v>0</v>
      </c>
      <c r="H196" s="55">
        <v>0</v>
      </c>
      <c r="I196" s="55">
        <v>0</v>
      </c>
      <c r="J196" s="96" t="str">
        <f t="shared" si="12"/>
        <v>▼1</v>
      </c>
      <c r="K196" s="49">
        <f t="shared" ref="K196:K220" si="15">RANK(G196,$G$4:$G$999)</f>
        <v>121</v>
      </c>
      <c r="M196" s="64" t="s">
        <v>73</v>
      </c>
    </row>
    <row r="197" spans="1:13">
      <c r="A197" s="2">
        <f t="shared" si="13"/>
        <v>122</v>
      </c>
      <c r="B197" s="54" t="s">
        <v>415</v>
      </c>
      <c r="C197" s="35" t="s">
        <v>79</v>
      </c>
      <c r="D197" s="48" t="s">
        <v>676</v>
      </c>
      <c r="E197" s="49" t="str">
        <f t="shared" si="14"/>
        <v>N</v>
      </c>
      <c r="F197" s="55">
        <v>79.599999999999994</v>
      </c>
      <c r="G197" s="55">
        <v>0</v>
      </c>
      <c r="H197" s="55">
        <v>0</v>
      </c>
      <c r="I197" s="55">
        <v>0</v>
      </c>
      <c r="J197" s="96" t="str">
        <f t="shared" ref="J197:J220" si="16">IF(K197="","-",IF(A197=K197,"-",IF(A197&lt;K197,"▲"&amp;K197-A197,"▼"&amp;A197-K197)))</f>
        <v>▼1</v>
      </c>
      <c r="K197" s="49">
        <f t="shared" si="15"/>
        <v>121</v>
      </c>
      <c r="M197" s="3" t="s">
        <v>70</v>
      </c>
    </row>
    <row r="198" spans="1:13">
      <c r="A198" s="2">
        <f t="shared" si="13"/>
        <v>122</v>
      </c>
      <c r="B198" s="54" t="s">
        <v>418</v>
      </c>
      <c r="C198" s="35" t="s">
        <v>102</v>
      </c>
      <c r="D198" s="48" t="s">
        <v>676</v>
      </c>
      <c r="E198" s="49" t="str">
        <f t="shared" si="14"/>
        <v>Y</v>
      </c>
      <c r="F198" s="55">
        <v>77.8</v>
      </c>
      <c r="G198" s="55">
        <v>0</v>
      </c>
      <c r="H198" s="55">
        <v>0</v>
      </c>
      <c r="I198" s="55">
        <v>0</v>
      </c>
      <c r="J198" s="96" t="str">
        <f t="shared" si="16"/>
        <v>▼1</v>
      </c>
      <c r="K198" s="49">
        <f t="shared" si="15"/>
        <v>121</v>
      </c>
      <c r="M198" s="3" t="s">
        <v>81</v>
      </c>
    </row>
    <row r="199" spans="1:13">
      <c r="A199" s="2">
        <f t="shared" si="13"/>
        <v>122</v>
      </c>
      <c r="B199" s="54" t="s">
        <v>420</v>
      </c>
      <c r="C199" s="35" t="s">
        <v>102</v>
      </c>
      <c r="D199" s="48" t="s">
        <v>676</v>
      </c>
      <c r="E199" s="49" t="str">
        <f t="shared" si="14"/>
        <v>N</v>
      </c>
      <c r="F199" s="55">
        <v>69.349999999999994</v>
      </c>
      <c r="G199" s="55">
        <v>0</v>
      </c>
      <c r="H199" s="55">
        <v>0</v>
      </c>
      <c r="I199" s="55">
        <v>0</v>
      </c>
      <c r="J199" s="96" t="str">
        <f t="shared" si="16"/>
        <v>▼1</v>
      </c>
      <c r="K199" s="49">
        <f t="shared" si="15"/>
        <v>121</v>
      </c>
      <c r="M199" s="3" t="s">
        <v>73</v>
      </c>
    </row>
    <row r="200" spans="1:13">
      <c r="A200" s="2">
        <f t="shared" si="13"/>
        <v>122</v>
      </c>
      <c r="B200" s="54" t="s">
        <v>421</v>
      </c>
      <c r="C200" s="35" t="s">
        <v>102</v>
      </c>
      <c r="D200" s="48" t="s">
        <v>676</v>
      </c>
      <c r="E200" s="49" t="str">
        <f t="shared" si="14"/>
        <v>N</v>
      </c>
      <c r="F200" s="55">
        <v>66.05</v>
      </c>
      <c r="G200" s="55">
        <v>0</v>
      </c>
      <c r="H200" s="55">
        <v>0</v>
      </c>
      <c r="I200" s="55">
        <v>0</v>
      </c>
      <c r="J200" s="96" t="str">
        <f t="shared" si="16"/>
        <v>▼1</v>
      </c>
      <c r="K200" s="49">
        <f t="shared" si="15"/>
        <v>121</v>
      </c>
      <c r="M200" s="3" t="s">
        <v>73</v>
      </c>
    </row>
    <row r="201" spans="1:13">
      <c r="A201" s="2">
        <f t="shared" si="13"/>
        <v>122</v>
      </c>
      <c r="B201" s="54" t="s">
        <v>423</v>
      </c>
      <c r="C201" s="35" t="s">
        <v>102</v>
      </c>
      <c r="D201" s="48" t="s">
        <v>676</v>
      </c>
      <c r="E201" s="49" t="str">
        <f t="shared" si="14"/>
        <v>N</v>
      </c>
      <c r="F201" s="55">
        <v>64.42</v>
      </c>
      <c r="G201" s="55">
        <v>0</v>
      </c>
      <c r="H201" s="55">
        <v>0</v>
      </c>
      <c r="I201" s="55">
        <v>0</v>
      </c>
      <c r="J201" s="96" t="str">
        <f t="shared" si="16"/>
        <v>▼1</v>
      </c>
      <c r="K201" s="49">
        <f t="shared" si="15"/>
        <v>121</v>
      </c>
      <c r="M201" s="3" t="s">
        <v>70</v>
      </c>
    </row>
    <row r="202" spans="1:13">
      <c r="A202" s="2">
        <f t="shared" si="13"/>
        <v>122</v>
      </c>
      <c r="B202" s="54" t="s">
        <v>425</v>
      </c>
      <c r="C202" s="35" t="s">
        <v>102</v>
      </c>
      <c r="D202" s="48" t="s">
        <v>676</v>
      </c>
      <c r="E202" s="49" t="str">
        <f t="shared" si="14"/>
        <v>N</v>
      </c>
      <c r="F202" s="55">
        <v>61.89</v>
      </c>
      <c r="G202" s="55">
        <v>0</v>
      </c>
      <c r="H202" s="55">
        <v>0</v>
      </c>
      <c r="I202" s="55">
        <v>0</v>
      </c>
      <c r="J202" s="96" t="str">
        <f t="shared" si="16"/>
        <v>▼1</v>
      </c>
      <c r="K202" s="49">
        <f t="shared" si="15"/>
        <v>121</v>
      </c>
      <c r="M202" s="3" t="s">
        <v>70</v>
      </c>
    </row>
    <row r="203" spans="1:13">
      <c r="A203" s="2">
        <f t="shared" si="13"/>
        <v>122</v>
      </c>
      <c r="B203" s="54" t="s">
        <v>427</v>
      </c>
      <c r="C203" s="35" t="s">
        <v>104</v>
      </c>
      <c r="D203" s="48" t="s">
        <v>676</v>
      </c>
      <c r="E203" s="49" t="str">
        <f t="shared" si="14"/>
        <v>N</v>
      </c>
      <c r="F203" s="55">
        <v>60.88</v>
      </c>
      <c r="G203" s="55">
        <v>0</v>
      </c>
      <c r="H203" s="55">
        <v>0</v>
      </c>
      <c r="I203" s="55">
        <v>0</v>
      </c>
      <c r="J203" s="96" t="str">
        <f t="shared" si="16"/>
        <v>▼1</v>
      </c>
      <c r="K203" s="49">
        <f t="shared" si="15"/>
        <v>121</v>
      </c>
      <c r="M203" s="64" t="s">
        <v>73</v>
      </c>
    </row>
    <row r="204" spans="1:13">
      <c r="A204" s="2">
        <f t="shared" si="13"/>
        <v>122</v>
      </c>
      <c r="B204" s="54" t="s">
        <v>428</v>
      </c>
      <c r="C204" s="35" t="s">
        <v>102</v>
      </c>
      <c r="D204" s="48" t="s">
        <v>676</v>
      </c>
      <c r="E204" s="49" t="str">
        <f t="shared" si="14"/>
        <v>N</v>
      </c>
      <c r="F204" s="55">
        <v>58.26</v>
      </c>
      <c r="G204" s="55">
        <v>0</v>
      </c>
      <c r="H204" s="55">
        <v>0</v>
      </c>
      <c r="I204" s="55">
        <v>0</v>
      </c>
      <c r="J204" s="96" t="str">
        <f t="shared" si="16"/>
        <v>▼1</v>
      </c>
      <c r="K204" s="49">
        <f t="shared" si="15"/>
        <v>121</v>
      </c>
      <c r="M204" s="64" t="s">
        <v>70</v>
      </c>
    </row>
    <row r="205" spans="1:13">
      <c r="A205" s="2">
        <f t="shared" si="13"/>
        <v>122</v>
      </c>
      <c r="B205" s="54" t="s">
        <v>431</v>
      </c>
      <c r="C205" s="35" t="s">
        <v>106</v>
      </c>
      <c r="D205" s="48" t="s">
        <v>676</v>
      </c>
      <c r="E205" s="49" t="str">
        <f t="shared" si="14"/>
        <v>N</v>
      </c>
      <c r="F205" s="55">
        <v>54.97</v>
      </c>
      <c r="G205" s="55">
        <v>0</v>
      </c>
      <c r="H205" s="55">
        <v>0</v>
      </c>
      <c r="I205" s="55">
        <v>0</v>
      </c>
      <c r="J205" s="96" t="str">
        <f t="shared" si="16"/>
        <v>▼1</v>
      </c>
      <c r="K205" s="49">
        <f t="shared" si="15"/>
        <v>121</v>
      </c>
      <c r="M205" s="64" t="s">
        <v>70</v>
      </c>
    </row>
    <row r="206" spans="1:13">
      <c r="A206" s="2">
        <f t="shared" si="13"/>
        <v>122</v>
      </c>
      <c r="B206" s="54" t="s">
        <v>433</v>
      </c>
      <c r="C206" s="35" t="s">
        <v>106</v>
      </c>
      <c r="D206" s="48" t="s">
        <v>676</v>
      </c>
      <c r="E206" s="49" t="str">
        <f t="shared" si="14"/>
        <v>N</v>
      </c>
      <c r="F206" s="55">
        <v>52.08</v>
      </c>
      <c r="G206" s="55">
        <v>0</v>
      </c>
      <c r="H206" s="55">
        <v>0</v>
      </c>
      <c r="I206" s="55">
        <v>0</v>
      </c>
      <c r="J206" s="96" t="str">
        <f t="shared" si="16"/>
        <v>▼1</v>
      </c>
      <c r="K206" s="49">
        <f t="shared" si="15"/>
        <v>121</v>
      </c>
      <c r="M206" s="64" t="s">
        <v>70</v>
      </c>
    </row>
    <row r="207" spans="1:13">
      <c r="A207" s="2">
        <f t="shared" si="13"/>
        <v>122</v>
      </c>
      <c r="B207" s="54" t="s">
        <v>435</v>
      </c>
      <c r="C207" s="35" t="s">
        <v>79</v>
      </c>
      <c r="D207" s="48" t="s">
        <v>676</v>
      </c>
      <c r="E207" s="49" t="str">
        <f t="shared" si="14"/>
        <v>N</v>
      </c>
      <c r="F207" s="55">
        <v>50.34</v>
      </c>
      <c r="G207" s="55">
        <v>50.34</v>
      </c>
      <c r="H207" s="55">
        <v>0</v>
      </c>
      <c r="I207" s="55">
        <v>0</v>
      </c>
      <c r="J207" s="96" t="str">
        <f t="shared" si="16"/>
        <v>▼17</v>
      </c>
      <c r="K207" s="49">
        <f t="shared" si="15"/>
        <v>105</v>
      </c>
      <c r="M207" s="64" t="s">
        <v>73</v>
      </c>
    </row>
    <row r="208" spans="1:13">
      <c r="A208" s="2">
        <f t="shared" si="13"/>
        <v>122</v>
      </c>
      <c r="B208" s="54" t="s">
        <v>437</v>
      </c>
      <c r="C208" s="35" t="s">
        <v>102</v>
      </c>
      <c r="D208" s="48" t="s">
        <v>676</v>
      </c>
      <c r="E208" s="49" t="str">
        <f t="shared" si="14"/>
        <v>N</v>
      </c>
      <c r="F208" s="55">
        <v>44.27</v>
      </c>
      <c r="G208" s="55">
        <v>44.27</v>
      </c>
      <c r="H208" s="55">
        <v>0</v>
      </c>
      <c r="I208" s="55">
        <v>0</v>
      </c>
      <c r="J208" s="96" t="str">
        <f t="shared" si="16"/>
        <v>▼13</v>
      </c>
      <c r="K208" s="49">
        <f t="shared" si="15"/>
        <v>109</v>
      </c>
      <c r="M208" s="64" t="s">
        <v>73</v>
      </c>
    </row>
    <row r="209" spans="1:13">
      <c r="A209" s="2">
        <f t="shared" si="13"/>
        <v>122</v>
      </c>
      <c r="B209" s="54" t="s">
        <v>439</v>
      </c>
      <c r="C209" s="35" t="s">
        <v>106</v>
      </c>
      <c r="D209" s="48" t="s">
        <v>676</v>
      </c>
      <c r="E209" s="49" t="str">
        <f t="shared" si="14"/>
        <v>N</v>
      </c>
      <c r="F209" s="55">
        <v>43.6</v>
      </c>
      <c r="G209" s="55">
        <v>0</v>
      </c>
      <c r="H209" s="55">
        <v>0</v>
      </c>
      <c r="I209" s="55">
        <v>0</v>
      </c>
      <c r="J209" s="96" t="str">
        <f t="shared" si="16"/>
        <v>▼1</v>
      </c>
      <c r="K209" s="49">
        <f t="shared" si="15"/>
        <v>121</v>
      </c>
      <c r="M209" s="64" t="s">
        <v>70</v>
      </c>
    </row>
    <row r="210" spans="1:13">
      <c r="A210" s="2">
        <f t="shared" si="13"/>
        <v>122</v>
      </c>
      <c r="B210" s="54" t="s">
        <v>441</v>
      </c>
      <c r="C210" s="35" t="s">
        <v>102</v>
      </c>
      <c r="D210" s="48" t="s">
        <v>676</v>
      </c>
      <c r="E210" s="49" t="str">
        <f t="shared" si="14"/>
        <v>N</v>
      </c>
      <c r="F210" s="55">
        <v>43.26</v>
      </c>
      <c r="G210" s="55">
        <v>0</v>
      </c>
      <c r="H210" s="55">
        <v>0</v>
      </c>
      <c r="I210" s="55">
        <v>0</v>
      </c>
      <c r="J210" s="96" t="str">
        <f t="shared" si="16"/>
        <v>▼1</v>
      </c>
      <c r="K210" s="49">
        <f t="shared" si="15"/>
        <v>121</v>
      </c>
      <c r="M210" s="64" t="s">
        <v>70</v>
      </c>
    </row>
    <row r="211" spans="1:13">
      <c r="A211" s="2">
        <f t="shared" si="13"/>
        <v>122</v>
      </c>
      <c r="B211" s="54" t="s">
        <v>442</v>
      </c>
      <c r="C211" s="35" t="s">
        <v>102</v>
      </c>
      <c r="D211" s="48" t="s">
        <v>676</v>
      </c>
      <c r="E211" s="49" t="str">
        <f t="shared" si="14"/>
        <v>N</v>
      </c>
      <c r="F211" s="55">
        <v>35.93</v>
      </c>
      <c r="G211" s="55">
        <v>0</v>
      </c>
      <c r="H211" s="55">
        <v>0</v>
      </c>
      <c r="I211" s="55">
        <v>0</v>
      </c>
      <c r="J211" s="96" t="str">
        <f t="shared" si="16"/>
        <v>▼1</v>
      </c>
      <c r="K211" s="49">
        <f t="shared" si="15"/>
        <v>121</v>
      </c>
      <c r="M211" s="64" t="s">
        <v>70</v>
      </c>
    </row>
    <row r="212" spans="1:13">
      <c r="A212" s="2">
        <f t="shared" si="13"/>
        <v>122</v>
      </c>
      <c r="B212" s="54" t="s">
        <v>446</v>
      </c>
      <c r="C212" s="61" t="s">
        <v>102</v>
      </c>
      <c r="D212" s="48" t="s">
        <v>676</v>
      </c>
      <c r="E212" s="49" t="str">
        <f t="shared" si="14"/>
        <v>N</v>
      </c>
      <c r="F212" s="55">
        <v>31.6</v>
      </c>
      <c r="G212" s="55">
        <v>31.6</v>
      </c>
      <c r="H212" s="55">
        <v>0</v>
      </c>
      <c r="I212" s="55">
        <v>0</v>
      </c>
      <c r="J212" s="96" t="str">
        <f t="shared" si="16"/>
        <v>▼10</v>
      </c>
      <c r="K212" s="49">
        <f t="shared" si="15"/>
        <v>112</v>
      </c>
      <c r="M212" s="64" t="s">
        <v>70</v>
      </c>
    </row>
    <row r="213" spans="1:13">
      <c r="A213" s="2">
        <f t="shared" si="13"/>
        <v>122</v>
      </c>
      <c r="B213" s="54" t="s">
        <v>447</v>
      </c>
      <c r="C213" s="35" t="s">
        <v>102</v>
      </c>
      <c r="D213" s="48" t="s">
        <v>676</v>
      </c>
      <c r="E213" s="49" t="str">
        <f t="shared" si="14"/>
        <v>N</v>
      </c>
      <c r="F213" s="55">
        <v>31.15</v>
      </c>
      <c r="G213" s="55">
        <v>0</v>
      </c>
      <c r="H213" s="55">
        <v>0</v>
      </c>
      <c r="I213" s="55">
        <v>0</v>
      </c>
      <c r="J213" s="96" t="str">
        <f t="shared" si="16"/>
        <v>▼1</v>
      </c>
      <c r="K213" s="49">
        <f t="shared" si="15"/>
        <v>121</v>
      </c>
      <c r="M213" s="64" t="s">
        <v>70</v>
      </c>
    </row>
    <row r="214" spans="1:13">
      <c r="A214" s="2">
        <f t="shared" si="13"/>
        <v>122</v>
      </c>
      <c r="B214" s="54" t="s">
        <v>448</v>
      </c>
      <c r="C214" s="35" t="s">
        <v>102</v>
      </c>
      <c r="D214" s="48" t="s">
        <v>676</v>
      </c>
      <c r="E214" s="49" t="str">
        <f t="shared" si="14"/>
        <v>N</v>
      </c>
      <c r="F214" s="55">
        <v>29.04</v>
      </c>
      <c r="G214" s="55">
        <v>29.04</v>
      </c>
      <c r="H214" s="55">
        <v>0</v>
      </c>
      <c r="I214" s="55">
        <v>0</v>
      </c>
      <c r="J214" s="96" t="str">
        <f t="shared" si="16"/>
        <v>▼9</v>
      </c>
      <c r="K214" s="49">
        <f t="shared" si="15"/>
        <v>113</v>
      </c>
      <c r="M214" s="64" t="s">
        <v>70</v>
      </c>
    </row>
    <row r="215" spans="1:13">
      <c r="A215" s="2">
        <f t="shared" si="13"/>
        <v>122</v>
      </c>
      <c r="B215" s="54" t="s">
        <v>449</v>
      </c>
      <c r="C215" s="35" t="s">
        <v>102</v>
      </c>
      <c r="D215" s="48" t="s">
        <v>676</v>
      </c>
      <c r="E215" s="49" t="str">
        <f t="shared" si="14"/>
        <v>N</v>
      </c>
      <c r="F215" s="55">
        <v>28.16</v>
      </c>
      <c r="G215" s="55">
        <v>1.62</v>
      </c>
      <c r="H215" s="55">
        <v>0</v>
      </c>
      <c r="I215" s="55">
        <v>0</v>
      </c>
      <c r="J215" s="96" t="str">
        <f t="shared" si="16"/>
        <v>▼5</v>
      </c>
      <c r="K215" s="49">
        <f t="shared" si="15"/>
        <v>117</v>
      </c>
      <c r="M215" s="64" t="s">
        <v>70</v>
      </c>
    </row>
    <row r="216" spans="1:13">
      <c r="A216" s="2">
        <f t="shared" si="13"/>
        <v>122</v>
      </c>
      <c r="B216" s="54" t="s">
        <v>451</v>
      </c>
      <c r="C216" s="35" t="s">
        <v>102</v>
      </c>
      <c r="D216" s="48" t="s">
        <v>676</v>
      </c>
      <c r="E216" s="49" t="str">
        <f t="shared" si="14"/>
        <v>N</v>
      </c>
      <c r="F216" s="55">
        <v>25.93</v>
      </c>
      <c r="G216" s="55">
        <v>12.39</v>
      </c>
      <c r="H216" s="55">
        <v>0</v>
      </c>
      <c r="I216" s="55">
        <v>0</v>
      </c>
      <c r="J216" s="96" t="str">
        <f t="shared" si="16"/>
        <v>▼8</v>
      </c>
      <c r="K216" s="49">
        <f t="shared" si="15"/>
        <v>114</v>
      </c>
      <c r="M216" s="64" t="s">
        <v>70</v>
      </c>
    </row>
    <row r="217" spans="1:13">
      <c r="A217" s="2">
        <f t="shared" si="13"/>
        <v>122</v>
      </c>
      <c r="B217" s="54" t="s">
        <v>454</v>
      </c>
      <c r="C217" s="35" t="s">
        <v>106</v>
      </c>
      <c r="D217" s="48" t="s">
        <v>676</v>
      </c>
      <c r="E217" s="49" t="str">
        <f t="shared" si="14"/>
        <v>N</v>
      </c>
      <c r="F217" s="55">
        <v>3.25</v>
      </c>
      <c r="G217" s="55">
        <v>3.25</v>
      </c>
      <c r="H217" s="55">
        <v>0</v>
      </c>
      <c r="I217" s="55">
        <v>0</v>
      </c>
      <c r="J217" s="96" t="str">
        <f t="shared" si="16"/>
        <v>▼7</v>
      </c>
      <c r="K217" s="49">
        <f t="shared" si="15"/>
        <v>115</v>
      </c>
      <c r="M217" s="64" t="s">
        <v>73</v>
      </c>
    </row>
    <row r="218" spans="1:13">
      <c r="A218" s="2">
        <f t="shared" si="13"/>
        <v>122</v>
      </c>
      <c r="B218" s="54" t="s">
        <v>669</v>
      </c>
      <c r="C218" s="35" t="s">
        <v>102</v>
      </c>
      <c r="D218" s="48" t="s">
        <v>676</v>
      </c>
      <c r="E218" s="49" t="str">
        <f t="shared" si="14"/>
        <v>N</v>
      </c>
      <c r="F218" s="55">
        <v>-3.51</v>
      </c>
      <c r="G218" s="55">
        <v>0</v>
      </c>
      <c r="H218" s="55">
        <v>0</v>
      </c>
      <c r="I218" s="55">
        <v>0</v>
      </c>
      <c r="J218" s="96" t="str">
        <f t="shared" si="16"/>
        <v>▼1</v>
      </c>
      <c r="K218" s="49">
        <f t="shared" si="15"/>
        <v>121</v>
      </c>
      <c r="M218" s="64" t="s">
        <v>70</v>
      </c>
    </row>
    <row r="219" spans="1:13">
      <c r="A219" s="2">
        <f t="shared" si="13"/>
        <v>122</v>
      </c>
      <c r="B219" s="54" t="s">
        <v>670</v>
      </c>
      <c r="C219" s="41" t="s">
        <v>119</v>
      </c>
      <c r="D219" s="48" t="s">
        <v>676</v>
      </c>
      <c r="E219" s="49" t="str">
        <f t="shared" si="14"/>
        <v>N</v>
      </c>
      <c r="F219" s="55">
        <v>-443.54</v>
      </c>
      <c r="G219" s="55">
        <v>-443.54</v>
      </c>
      <c r="H219" s="55">
        <v>0</v>
      </c>
      <c r="I219" s="55">
        <v>0</v>
      </c>
      <c r="J219" s="96" t="str">
        <f t="shared" si="16"/>
        <v>▲95</v>
      </c>
      <c r="K219" s="49">
        <f t="shared" si="15"/>
        <v>217</v>
      </c>
      <c r="M219" s="3" t="s">
        <v>73</v>
      </c>
    </row>
    <row r="220" spans="1:13">
      <c r="A220" s="98">
        <f t="shared" si="13"/>
        <v>217</v>
      </c>
      <c r="B220" s="60" t="s">
        <v>325</v>
      </c>
      <c r="C220" s="35" t="s">
        <v>79</v>
      </c>
      <c r="D220" s="48" t="s">
        <v>676</v>
      </c>
      <c r="E220" s="49" t="str">
        <f t="shared" si="14"/>
        <v>N</v>
      </c>
      <c r="F220" s="55">
        <v>383.06</v>
      </c>
      <c r="G220" s="55">
        <v>0</v>
      </c>
      <c r="H220" s="55">
        <v>0</v>
      </c>
      <c r="I220" s="55">
        <v>-1.13822</v>
      </c>
      <c r="J220" s="96" t="str">
        <f t="shared" si="16"/>
        <v>▼96</v>
      </c>
      <c r="K220" s="49">
        <f t="shared" si="15"/>
        <v>121</v>
      </c>
      <c r="M220" s="3" t="s">
        <v>70</v>
      </c>
    </row>
  </sheetData>
  <autoFilter ref="A3:K220" xr:uid="{DD48593E-9779-462E-B4A8-CD166750D604}"/>
  <sortState xmlns:xlrd2="http://schemas.microsoft.com/office/spreadsheetml/2017/richdata2" ref="A3:M220">
    <sortCondition descending="1" ref="I3:I220"/>
    <sortCondition descending="1" ref="H3:H220"/>
    <sortCondition descending="1" ref="F3:F220"/>
  </sortState>
  <mergeCells count="12">
    <mergeCell ref="T18:U18"/>
    <mergeCell ref="Q13:R13"/>
    <mergeCell ref="Q14:R14"/>
    <mergeCell ref="Q15:R15"/>
    <mergeCell ref="Q16:R16"/>
    <mergeCell ref="Q17:R17"/>
    <mergeCell ref="Q18:R18"/>
    <mergeCell ref="T13:U13"/>
    <mergeCell ref="T14:U14"/>
    <mergeCell ref="T15:U15"/>
    <mergeCell ref="T16:U16"/>
    <mergeCell ref="T17:U17"/>
  </mergeCells>
  <phoneticPr fontId="1" type="noConversion"/>
  <conditionalFormatting sqref="AK25">
    <cfRule type="duplicateValues" dxfId="7" priority="7"/>
  </conditionalFormatting>
  <conditionalFormatting sqref="AK25:AK33">
    <cfRule type="duplicateValues" dxfId="6" priority="8"/>
  </conditionalFormatting>
  <conditionalFormatting sqref="AK26">
    <cfRule type="duplicateValues" dxfId="5" priority="6"/>
  </conditionalFormatting>
  <conditionalFormatting sqref="AK27">
    <cfRule type="duplicateValues" dxfId="4" priority="5"/>
  </conditionalFormatting>
  <conditionalFormatting sqref="AK34">
    <cfRule type="duplicateValues" dxfId="3" priority="4"/>
  </conditionalFormatting>
  <conditionalFormatting sqref="AK35 AK28:AK33 AK19:AK25">
    <cfRule type="duplicateValues" dxfId="2" priority="9"/>
  </conditionalFormatting>
  <conditionalFormatting sqref="AK35">
    <cfRule type="duplicateValues" dxfId="1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31E6-1218-4184-A715-40FC594FF6E5}">
  <dimension ref="A1:U36"/>
  <sheetViews>
    <sheetView workbookViewId="0">
      <pane ySplit="1" topLeftCell="A2" activePane="bottomLeft" state="frozen"/>
      <selection pane="bottomLeft" activeCell="R36" sqref="A1:R36"/>
    </sheetView>
  </sheetViews>
  <sheetFormatPr defaultRowHeight="16.5"/>
  <cols>
    <col min="1" max="1" width="5" style="74" customWidth="1"/>
    <col min="2" max="2" width="14" style="74" customWidth="1"/>
    <col min="3" max="3" width="6.25" style="74" customWidth="1"/>
    <col min="4" max="5" width="6" style="73" customWidth="1"/>
    <col min="6" max="10" width="9" style="73" hidden="1" customWidth="1"/>
    <col min="11" max="12" width="11.625" style="74" customWidth="1"/>
    <col min="13" max="13" width="14.625" style="74" customWidth="1"/>
    <col min="14" max="14" width="11.625" style="74" customWidth="1"/>
    <col min="15" max="15" width="10" style="74" customWidth="1"/>
    <col min="16" max="16" width="15.875" style="74" customWidth="1"/>
    <col min="17" max="17" width="10" style="74" customWidth="1"/>
    <col min="18" max="18" width="14.75" style="74" customWidth="1"/>
  </cols>
  <sheetData>
    <row r="1" spans="1:21" ht="17.25" thickBot="1">
      <c r="A1" s="75" t="s">
        <v>128</v>
      </c>
      <c r="B1" s="75" t="s">
        <v>129</v>
      </c>
      <c r="C1" s="75" t="s">
        <v>130</v>
      </c>
      <c r="D1" s="75" t="s">
        <v>131</v>
      </c>
      <c r="E1" s="75" t="s">
        <v>132</v>
      </c>
      <c r="F1" s="75" t="s">
        <v>133</v>
      </c>
      <c r="G1" s="75" t="s">
        <v>134</v>
      </c>
      <c r="H1" s="75" t="s">
        <v>33</v>
      </c>
      <c r="I1" s="75" t="s">
        <v>135</v>
      </c>
      <c r="J1" s="75" t="s">
        <v>136</v>
      </c>
      <c r="K1" s="75" t="s">
        <v>133</v>
      </c>
      <c r="L1" s="75" t="s">
        <v>33</v>
      </c>
      <c r="M1" s="75" t="s">
        <v>134</v>
      </c>
      <c r="N1" s="75" t="s">
        <v>135</v>
      </c>
      <c r="O1" s="75" t="s">
        <v>137</v>
      </c>
      <c r="P1" s="75" t="s">
        <v>138</v>
      </c>
      <c r="Q1" s="75" t="s">
        <v>139</v>
      </c>
      <c r="R1" s="75" t="s">
        <v>136</v>
      </c>
    </row>
    <row r="2" spans="1:21" ht="17.25" thickBot="1">
      <c r="A2" s="76">
        <v>1</v>
      </c>
      <c r="B2" s="76" t="s">
        <v>140</v>
      </c>
      <c r="C2" s="76" t="s">
        <v>102</v>
      </c>
      <c r="D2" s="76"/>
      <c r="E2" s="76"/>
      <c r="F2" s="77">
        <v>120257.59</v>
      </c>
      <c r="G2" s="78">
        <v>31693.41</v>
      </c>
      <c r="H2" s="78">
        <v>90000</v>
      </c>
      <c r="I2" s="78">
        <v>33345.337070000001</v>
      </c>
      <c r="J2" s="77" t="s">
        <v>141</v>
      </c>
      <c r="K2" s="79">
        <f>F2/1000</f>
        <v>120.25758999999999</v>
      </c>
      <c r="L2" s="79">
        <f t="shared" ref="L2:L33" si="0">H2/1000</f>
        <v>90</v>
      </c>
      <c r="M2" s="79">
        <f>IFERROR(G2/1000,0)</f>
        <v>31.69341</v>
      </c>
      <c r="N2" s="79">
        <f t="shared" ref="N2:N17" si="1">I2/1000</f>
        <v>33.345337069999999</v>
      </c>
      <c r="O2" s="80">
        <f>(N2-M2)/M2</f>
        <v>5.2122099515325086E-2</v>
      </c>
      <c r="P2" s="80">
        <f>N2/L2</f>
        <v>0.37050374522222224</v>
      </c>
      <c r="Q2" s="80">
        <f>Sheet1!I2/'26년 고객사별 예상 매출 销售预计(客户别)'!$I$2</f>
        <v>0.16846244040251493</v>
      </c>
      <c r="R2" s="79" t="str">
        <f>J2</f>
        <v>-</v>
      </c>
      <c r="S2" t="str">
        <f>VLOOKUP(B2,$T$2:$T$31,1,0)</f>
        <v>ZPX</v>
      </c>
      <c r="T2" t="s">
        <v>142</v>
      </c>
      <c r="U2" t="str">
        <f>VLOOKUP(T2,$B$2:$B$33,1,0)</f>
        <v>CGO</v>
      </c>
    </row>
    <row r="3" spans="1:21" ht="17.25" thickBot="1">
      <c r="A3" s="81">
        <v>2</v>
      </c>
      <c r="B3" s="81" t="s">
        <v>143</v>
      </c>
      <c r="C3" s="81" t="s">
        <v>79</v>
      </c>
      <c r="D3" s="81"/>
      <c r="E3" s="81"/>
      <c r="F3" s="82">
        <v>66437.820000000007</v>
      </c>
      <c r="G3" s="83">
        <v>13253.18</v>
      </c>
      <c r="H3" s="83">
        <v>70000</v>
      </c>
      <c r="I3" s="83">
        <v>27577.89659</v>
      </c>
      <c r="J3" s="82" t="s">
        <v>679</v>
      </c>
      <c r="K3" s="84">
        <f t="shared" ref="K3:K33" si="2">F3/1000</f>
        <v>66.437820000000002</v>
      </c>
      <c r="L3" s="84">
        <f t="shared" si="0"/>
        <v>70</v>
      </c>
      <c r="M3" s="84">
        <f>IFERROR(G3/1000,0)</f>
        <v>13.25318</v>
      </c>
      <c r="N3" s="84">
        <f t="shared" si="1"/>
        <v>27.577896590000002</v>
      </c>
      <c r="O3" s="85">
        <f t="shared" ref="O3:O28" si="3">(N3-M3)/M3</f>
        <v>1.0808512817301208</v>
      </c>
      <c r="P3" s="85">
        <f t="shared" ref="P3:P33" si="4">N3/L3</f>
        <v>0.39396995128571433</v>
      </c>
      <c r="Q3" s="85">
        <f>Sheet1!I3/'26년 고객사별 예상 매출 销售预计(客户别)'!$I$2</f>
        <v>0.13932502019598253</v>
      </c>
      <c r="R3" s="84" t="str">
        <f t="shared" ref="R3:R33" si="5">J3</f>
        <v>▲1</v>
      </c>
      <c r="S3" t="str">
        <f t="shared" ref="S3:S33" si="6">VLOOKUP(B3,$T$2:$T$31,1,0)</f>
        <v>GFM</v>
      </c>
      <c r="T3" t="s">
        <v>140</v>
      </c>
      <c r="U3" t="str">
        <f t="shared" ref="U3:U31" si="7">VLOOKUP(T3,$B$2:$B$33,1,0)</f>
        <v>ZPX</v>
      </c>
    </row>
    <row r="4" spans="1:21" ht="17.25" thickBot="1">
      <c r="A4" s="76">
        <v>3</v>
      </c>
      <c r="B4" s="76" t="s">
        <v>144</v>
      </c>
      <c r="C4" s="76" t="s">
        <v>102</v>
      </c>
      <c r="D4" s="76"/>
      <c r="E4" s="89"/>
      <c r="F4" s="77">
        <v>-1576.3</v>
      </c>
      <c r="G4" s="78">
        <v>15061.76</v>
      </c>
      <c r="H4" s="78">
        <v>50000</v>
      </c>
      <c r="I4" s="78">
        <v>16293.396220000001</v>
      </c>
      <c r="J4" s="77" t="s">
        <v>150</v>
      </c>
      <c r="K4" s="79">
        <f t="shared" si="2"/>
        <v>-1.5763</v>
      </c>
      <c r="L4" s="79">
        <f t="shared" si="0"/>
        <v>50</v>
      </c>
      <c r="M4" s="79">
        <f t="shared" ref="M4:M17" si="8">IFERROR(G4/1000,0)</f>
        <v>15.06176</v>
      </c>
      <c r="N4" s="79">
        <f t="shared" si="1"/>
        <v>16.293396220000002</v>
      </c>
      <c r="O4" s="80" t="s">
        <v>35</v>
      </c>
      <c r="P4" s="80">
        <f t="shared" si="4"/>
        <v>0.32586792440000001</v>
      </c>
      <c r="Q4" s="80">
        <f>Sheet1!I4/'26년 고객사별 예상 매출 销售预计(客户别)'!$I$2</f>
        <v>8.231511602069741E-2</v>
      </c>
      <c r="R4" s="79" t="str">
        <f t="shared" si="5"/>
        <v>▼1</v>
      </c>
      <c r="S4" t="str">
        <f t="shared" si="6"/>
        <v>GYM</v>
      </c>
      <c r="T4" t="s">
        <v>143</v>
      </c>
      <c r="U4" t="str">
        <f t="shared" si="7"/>
        <v>GFM</v>
      </c>
    </row>
    <row r="5" spans="1:21" ht="17.25" thickBot="1">
      <c r="A5" s="81">
        <v>4</v>
      </c>
      <c r="B5" s="81" t="s">
        <v>145</v>
      </c>
      <c r="C5" s="81" t="s">
        <v>102</v>
      </c>
      <c r="D5" s="81"/>
      <c r="E5" s="81"/>
      <c r="F5" s="82">
        <v>27224.18</v>
      </c>
      <c r="G5" s="83">
        <v>7806.35</v>
      </c>
      <c r="H5" s="83">
        <v>30000</v>
      </c>
      <c r="I5" s="83">
        <v>15339.341050000001</v>
      </c>
      <c r="J5" s="82" t="s">
        <v>165</v>
      </c>
      <c r="K5" s="84">
        <f t="shared" si="2"/>
        <v>27.22418</v>
      </c>
      <c r="L5" s="84">
        <f t="shared" si="0"/>
        <v>30</v>
      </c>
      <c r="M5" s="84">
        <f t="shared" si="8"/>
        <v>7.8063500000000001</v>
      </c>
      <c r="N5" s="84">
        <f t="shared" si="1"/>
        <v>15.339341050000002</v>
      </c>
      <c r="O5" s="85">
        <f t="shared" si="3"/>
        <v>0.96498248861503788</v>
      </c>
      <c r="P5" s="85">
        <f t="shared" si="4"/>
        <v>0.51131136833333335</v>
      </c>
      <c r="Q5" s="85">
        <f>Sheet1!I5/'26년 고객사별 예상 매출 销售预计(客户别)'!$I$2</f>
        <v>7.7495177872240834E-2</v>
      </c>
      <c r="R5" s="84" t="str">
        <f t="shared" si="5"/>
        <v>▲3</v>
      </c>
      <c r="S5" t="str">
        <f t="shared" si="6"/>
        <v>YBA</v>
      </c>
      <c r="T5" t="s">
        <v>144</v>
      </c>
      <c r="U5" t="str">
        <f t="shared" si="7"/>
        <v>GYM</v>
      </c>
    </row>
    <row r="6" spans="1:21" ht="17.25" thickBot="1">
      <c r="A6" s="76">
        <v>5</v>
      </c>
      <c r="B6" s="76" t="s">
        <v>153</v>
      </c>
      <c r="C6" s="76" t="s">
        <v>106</v>
      </c>
      <c r="D6" s="76"/>
      <c r="E6" s="89"/>
      <c r="F6" s="77">
        <v>21123.13</v>
      </c>
      <c r="G6" s="78">
        <v>6138.96</v>
      </c>
      <c r="H6" s="78">
        <v>30000</v>
      </c>
      <c r="I6" s="78">
        <v>8940.2953300000008</v>
      </c>
      <c r="J6" s="77" t="s">
        <v>157</v>
      </c>
      <c r="K6" s="79">
        <f t="shared" si="2"/>
        <v>21.12313</v>
      </c>
      <c r="L6" s="79">
        <f t="shared" si="0"/>
        <v>30</v>
      </c>
      <c r="M6" s="79">
        <f t="shared" si="8"/>
        <v>6.13896</v>
      </c>
      <c r="N6" s="79">
        <f t="shared" si="1"/>
        <v>8.9402953300000014</v>
      </c>
      <c r="O6" s="80" t="s">
        <v>35</v>
      </c>
      <c r="P6" s="80">
        <f t="shared" si="4"/>
        <v>0.29800984433333338</v>
      </c>
      <c r="Q6" s="80">
        <f>Sheet1!I6/'26년 고객사별 예상 매출 销售预计(客户别)'!$I$2</f>
        <v>4.5166853945705451E-2</v>
      </c>
      <c r="R6" s="79" t="str">
        <f t="shared" si="5"/>
        <v>▲5</v>
      </c>
      <c r="S6" t="str">
        <f t="shared" si="6"/>
        <v>SAM</v>
      </c>
      <c r="T6" t="s">
        <v>148</v>
      </c>
      <c r="U6" t="str">
        <f t="shared" si="7"/>
        <v>WDL</v>
      </c>
    </row>
    <row r="7" spans="1:21" ht="17.25" thickBot="1">
      <c r="A7" s="81">
        <v>6</v>
      </c>
      <c r="B7" s="81" t="s">
        <v>147</v>
      </c>
      <c r="C7" s="81" t="s">
        <v>102</v>
      </c>
      <c r="D7" s="81"/>
      <c r="E7" s="81"/>
      <c r="F7" s="82">
        <v>989.38</v>
      </c>
      <c r="G7" s="83">
        <v>122.1</v>
      </c>
      <c r="H7" s="83">
        <v>5000</v>
      </c>
      <c r="I7" s="83">
        <v>8345.3709500000004</v>
      </c>
      <c r="J7" s="82" t="s">
        <v>680</v>
      </c>
      <c r="K7" s="84">
        <f t="shared" si="2"/>
        <v>0.98938000000000004</v>
      </c>
      <c r="L7" s="84">
        <f t="shared" si="0"/>
        <v>5</v>
      </c>
      <c r="M7" s="84">
        <f t="shared" si="8"/>
        <v>0.1221</v>
      </c>
      <c r="N7" s="84">
        <f t="shared" si="1"/>
        <v>8.3453709500000013</v>
      </c>
      <c r="O7" s="85">
        <f t="shared" si="3"/>
        <v>67.348656429156449</v>
      </c>
      <c r="P7" s="85">
        <f t="shared" si="4"/>
        <v>1.6690741900000003</v>
      </c>
      <c r="Q7" s="85">
        <f>Sheet1!I7/'26년 고객사별 예상 매출 销售预计(客户别)'!$I$2</f>
        <v>4.2161263907753162E-2</v>
      </c>
      <c r="R7" s="84" t="str">
        <f t="shared" si="5"/>
        <v>▲83</v>
      </c>
      <c r="S7" t="e">
        <f t="shared" si="6"/>
        <v>#N/A</v>
      </c>
      <c r="T7" t="s">
        <v>149</v>
      </c>
      <c r="U7" t="str">
        <f t="shared" si="7"/>
        <v>DTA</v>
      </c>
    </row>
    <row r="8" spans="1:21" ht="17.25" thickBot="1">
      <c r="A8" s="76">
        <v>7</v>
      </c>
      <c r="B8" s="76" t="s">
        <v>149</v>
      </c>
      <c r="C8" s="76" t="s">
        <v>102</v>
      </c>
      <c r="D8" s="76"/>
      <c r="E8" s="89" t="s">
        <v>699</v>
      </c>
      <c r="F8" s="77">
        <v>30994.68</v>
      </c>
      <c r="G8" s="78">
        <v>6662.84</v>
      </c>
      <c r="H8" s="78">
        <v>35000</v>
      </c>
      <c r="I8" s="78">
        <v>7614.7977499999997</v>
      </c>
      <c r="J8" s="77" t="s">
        <v>679</v>
      </c>
      <c r="K8" s="79">
        <f t="shared" si="2"/>
        <v>30.994679999999999</v>
      </c>
      <c r="L8" s="79">
        <f t="shared" si="0"/>
        <v>35</v>
      </c>
      <c r="M8" s="79">
        <f t="shared" si="8"/>
        <v>6.6628400000000001</v>
      </c>
      <c r="N8" s="79">
        <f t="shared" si="1"/>
        <v>7.6147977500000001</v>
      </c>
      <c r="O8" s="80" t="s">
        <v>35</v>
      </c>
      <c r="P8" s="80">
        <f t="shared" si="4"/>
        <v>0.21756565</v>
      </c>
      <c r="Q8" s="80">
        <f>Sheet1!I8/'26년 고객사별 예상 매출 销售预计(客户别)'!$I$2</f>
        <v>3.8470368718830278E-2</v>
      </c>
      <c r="R8" s="79" t="str">
        <f t="shared" si="5"/>
        <v>▲1</v>
      </c>
      <c r="S8" t="str">
        <f t="shared" si="6"/>
        <v>DTA</v>
      </c>
      <c r="T8" t="s">
        <v>152</v>
      </c>
      <c r="U8" t="e">
        <f t="shared" si="7"/>
        <v>#N/A</v>
      </c>
    </row>
    <row r="9" spans="1:21" ht="17.25" thickBot="1">
      <c r="A9" s="81">
        <v>8</v>
      </c>
      <c r="B9" s="81" t="s">
        <v>151</v>
      </c>
      <c r="C9" s="81" t="s">
        <v>79</v>
      </c>
      <c r="D9" s="81"/>
      <c r="E9" s="81"/>
      <c r="F9" s="82">
        <v>18.260000000000002</v>
      </c>
      <c r="G9" s="83">
        <v>0</v>
      </c>
      <c r="H9" s="83">
        <v>50000</v>
      </c>
      <c r="I9" s="83">
        <v>6984.4406710000003</v>
      </c>
      <c r="J9" s="82" t="s">
        <v>681</v>
      </c>
      <c r="K9" s="84">
        <f t="shared" si="2"/>
        <v>1.8260000000000002E-2</v>
      </c>
      <c r="L9" s="84">
        <f t="shared" si="0"/>
        <v>50</v>
      </c>
      <c r="M9" s="84">
        <f t="shared" si="8"/>
        <v>0</v>
      </c>
      <c r="N9" s="84">
        <f t="shared" si="1"/>
        <v>6.9844406710000007</v>
      </c>
      <c r="O9" s="85" t="e">
        <f t="shared" si="3"/>
        <v>#DIV/0!</v>
      </c>
      <c r="P9" s="85">
        <f t="shared" si="4"/>
        <v>0.13968881342</v>
      </c>
      <c r="Q9" s="85">
        <f>Sheet1!I9/'26년 고객사별 예상 매출 销售预计(客户别)'!$I$2</f>
        <v>3.5285770775483088E-2</v>
      </c>
      <c r="R9" s="84" t="str">
        <f t="shared" si="5"/>
        <v>▲113</v>
      </c>
      <c r="S9" t="str">
        <f t="shared" si="6"/>
        <v>GRO</v>
      </c>
      <c r="T9" t="s">
        <v>145</v>
      </c>
      <c r="U9" t="str">
        <f t="shared" si="7"/>
        <v>YBA</v>
      </c>
    </row>
    <row r="10" spans="1:21" ht="17.25" thickBot="1">
      <c r="A10" s="76">
        <v>9</v>
      </c>
      <c r="B10" s="76" t="s">
        <v>148</v>
      </c>
      <c r="C10" s="76" t="s">
        <v>104</v>
      </c>
      <c r="D10" s="76"/>
      <c r="E10" s="89"/>
      <c r="F10" s="77">
        <v>10543.26</v>
      </c>
      <c r="G10" s="78">
        <v>2370.4</v>
      </c>
      <c r="H10" s="78">
        <v>50000</v>
      </c>
      <c r="I10" s="78">
        <v>4097.2762199999997</v>
      </c>
      <c r="J10" s="77" t="s">
        <v>682</v>
      </c>
      <c r="K10" s="79">
        <f t="shared" si="2"/>
        <v>10.54326</v>
      </c>
      <c r="L10" s="79">
        <f t="shared" si="0"/>
        <v>50</v>
      </c>
      <c r="M10" s="79">
        <f t="shared" si="8"/>
        <v>2.3704000000000001</v>
      </c>
      <c r="N10" s="79">
        <f t="shared" si="1"/>
        <v>4.0972762199999995</v>
      </c>
      <c r="O10" s="80">
        <f t="shared" si="3"/>
        <v>0.72851679885251408</v>
      </c>
      <c r="P10" s="80">
        <f t="shared" si="4"/>
        <v>8.1945524399999983E-2</v>
      </c>
      <c r="Q10" s="80">
        <f>Sheet1!I10/'26년 고객사별 예상 매출 销售预计(客户别)'!$I$2</f>
        <v>2.0699660332580097E-2</v>
      </c>
      <c r="R10" s="79" t="str">
        <f t="shared" si="5"/>
        <v>▲7</v>
      </c>
      <c r="S10" t="str">
        <f t="shared" si="6"/>
        <v>WDL</v>
      </c>
      <c r="T10" t="s">
        <v>120</v>
      </c>
      <c r="U10" t="e">
        <f t="shared" si="7"/>
        <v>#N/A</v>
      </c>
    </row>
    <row r="11" spans="1:21" ht="17.25" thickBot="1">
      <c r="A11" s="81">
        <v>10</v>
      </c>
      <c r="B11" s="81" t="s">
        <v>142</v>
      </c>
      <c r="C11" s="81" t="s">
        <v>102</v>
      </c>
      <c r="D11" s="81" t="s">
        <v>698</v>
      </c>
      <c r="E11" s="81"/>
      <c r="F11" s="82">
        <v>315.79000000000002</v>
      </c>
      <c r="G11" s="83">
        <v>0</v>
      </c>
      <c r="H11" s="83">
        <v>100000</v>
      </c>
      <c r="I11" s="83">
        <v>4089.1486599999998</v>
      </c>
      <c r="J11" s="82" t="s">
        <v>683</v>
      </c>
      <c r="K11" s="84">
        <f t="shared" si="2"/>
        <v>0.31579000000000002</v>
      </c>
      <c r="L11" s="84">
        <f t="shared" si="0"/>
        <v>100</v>
      </c>
      <c r="M11" s="84">
        <f t="shared" si="8"/>
        <v>0</v>
      </c>
      <c r="N11" s="84">
        <f t="shared" si="1"/>
        <v>4.0891486600000002</v>
      </c>
      <c r="O11" s="85" t="s">
        <v>35</v>
      </c>
      <c r="P11" s="85">
        <f t="shared" si="4"/>
        <v>4.0891486599999999E-2</v>
      </c>
      <c r="Q11" s="85">
        <f>Sheet1!I11/'26년 고객사별 예상 매출 销售预计(客户别)'!$I$2</f>
        <v>2.0658599461333135E-2</v>
      </c>
      <c r="R11" s="84" t="str">
        <f t="shared" si="5"/>
        <v>▲111</v>
      </c>
      <c r="S11" t="str">
        <f t="shared" si="6"/>
        <v>CGO</v>
      </c>
      <c r="T11" t="s">
        <v>154</v>
      </c>
      <c r="U11" t="str">
        <f t="shared" si="7"/>
        <v>ATA</v>
      </c>
    </row>
    <row r="12" spans="1:21" ht="17.25" hidden="1" thickBot="1">
      <c r="A12" s="76">
        <v>11</v>
      </c>
      <c r="B12" s="76" t="s">
        <v>155</v>
      </c>
      <c r="C12" s="76" t="s">
        <v>119</v>
      </c>
      <c r="D12" s="76"/>
      <c r="E12" s="89"/>
      <c r="F12" s="77">
        <v>40255.42</v>
      </c>
      <c r="G12" s="78">
        <v>9610.27</v>
      </c>
      <c r="H12" s="78">
        <v>0</v>
      </c>
      <c r="I12" s="78">
        <v>4023.7343900000001</v>
      </c>
      <c r="J12" s="77" t="s">
        <v>684</v>
      </c>
      <c r="K12" s="79">
        <f t="shared" si="2"/>
        <v>40.255420000000001</v>
      </c>
      <c r="L12" s="79">
        <f t="shared" si="0"/>
        <v>0</v>
      </c>
      <c r="M12" s="79">
        <f t="shared" si="8"/>
        <v>9.6102699999999999</v>
      </c>
      <c r="N12" s="79">
        <f t="shared" si="1"/>
        <v>4.0237343900000004</v>
      </c>
      <c r="O12" s="80">
        <f t="shared" si="3"/>
        <v>-0.58130891327715029</v>
      </c>
      <c r="P12" s="80" t="e">
        <f t="shared" si="4"/>
        <v>#DIV/0!</v>
      </c>
      <c r="Q12" s="80">
        <f>Sheet1!I12/'26년 고객사별 예상 매출 销售预计(客户别)'!$I$2</f>
        <v>2.0328123043049651E-2</v>
      </c>
      <c r="R12" s="79" t="str">
        <f t="shared" si="5"/>
        <v>▼6</v>
      </c>
      <c r="S12" t="e">
        <f t="shared" si="6"/>
        <v>#N/A</v>
      </c>
      <c r="T12" t="s">
        <v>99</v>
      </c>
      <c r="U12" t="e">
        <f t="shared" si="7"/>
        <v>#N/A</v>
      </c>
    </row>
    <row r="13" spans="1:21" ht="17.25" thickBot="1">
      <c r="A13" s="76">
        <v>11</v>
      </c>
      <c r="B13" s="76" t="s">
        <v>154</v>
      </c>
      <c r="C13" s="76" t="s">
        <v>104</v>
      </c>
      <c r="D13" s="76"/>
      <c r="E13" s="89"/>
      <c r="F13" s="77">
        <v>17704.79</v>
      </c>
      <c r="G13" s="78">
        <v>5836.88</v>
      </c>
      <c r="H13" s="78">
        <v>23000</v>
      </c>
      <c r="I13" s="78">
        <v>3410.0401499999998</v>
      </c>
      <c r="J13" s="77" t="s">
        <v>150</v>
      </c>
      <c r="K13" s="79">
        <f t="shared" si="2"/>
        <v>17.704789999999999</v>
      </c>
      <c r="L13" s="79">
        <f t="shared" si="0"/>
        <v>23</v>
      </c>
      <c r="M13" s="79">
        <f t="shared" si="8"/>
        <v>5.8368799999999998</v>
      </c>
      <c r="N13" s="79">
        <f t="shared" si="1"/>
        <v>3.4100401499999999</v>
      </c>
      <c r="O13" s="80">
        <f t="shared" si="3"/>
        <v>-0.4157768962185277</v>
      </c>
      <c r="P13" s="80">
        <f t="shared" si="4"/>
        <v>0.14826261521739131</v>
      </c>
      <c r="Q13" s="80">
        <f>Sheet1!I13/'26년 고객사별 예상 매출 销售预计(客户别)'!$I$2</f>
        <v>1.7227706660563023E-2</v>
      </c>
      <c r="R13" s="79" t="str">
        <f t="shared" si="5"/>
        <v>▼1</v>
      </c>
      <c r="S13" t="str">
        <f t="shared" si="6"/>
        <v>ATA</v>
      </c>
      <c r="T13" t="s">
        <v>121</v>
      </c>
      <c r="U13" t="e">
        <f t="shared" si="7"/>
        <v>#N/A</v>
      </c>
    </row>
    <row r="14" spans="1:21" ht="17.25" thickBot="1">
      <c r="A14" s="81">
        <v>12</v>
      </c>
      <c r="B14" s="81" t="s">
        <v>156</v>
      </c>
      <c r="C14" s="81" t="s">
        <v>104</v>
      </c>
      <c r="D14" s="81"/>
      <c r="E14" s="81"/>
      <c r="F14" s="82">
        <v>6958.83</v>
      </c>
      <c r="G14" s="83">
        <v>896.29</v>
      </c>
      <c r="H14" s="83">
        <v>15000</v>
      </c>
      <c r="I14" s="83">
        <v>3385.90038</v>
      </c>
      <c r="J14" s="82" t="s">
        <v>685</v>
      </c>
      <c r="K14" s="84">
        <f t="shared" si="2"/>
        <v>6.9588299999999998</v>
      </c>
      <c r="L14" s="84">
        <f t="shared" si="0"/>
        <v>15</v>
      </c>
      <c r="M14" s="84">
        <f t="shared" si="8"/>
        <v>0.89628999999999992</v>
      </c>
      <c r="N14" s="84">
        <f t="shared" si="1"/>
        <v>3.3859003799999998</v>
      </c>
      <c r="O14" s="85">
        <f t="shared" si="3"/>
        <v>2.7776839862098206</v>
      </c>
      <c r="P14" s="85">
        <f t="shared" si="4"/>
        <v>0.22572669199999998</v>
      </c>
      <c r="Q14" s="85">
        <f>Sheet1!I14/'26년 고객사별 예상 매출 销售预计(客户别)'!$I$2</f>
        <v>1.7105751241236519E-2</v>
      </c>
      <c r="R14" s="84" t="str">
        <f t="shared" si="5"/>
        <v>▲19</v>
      </c>
      <c r="S14" t="str">
        <f t="shared" si="6"/>
        <v>ZIF</v>
      </c>
      <c r="T14" t="s">
        <v>151</v>
      </c>
      <c r="U14" t="str">
        <f t="shared" si="7"/>
        <v>GRO</v>
      </c>
    </row>
    <row r="15" spans="1:21" ht="17.25" thickBot="1">
      <c r="A15" s="76">
        <v>13</v>
      </c>
      <c r="B15" s="76" t="s">
        <v>158</v>
      </c>
      <c r="C15" s="76" t="s">
        <v>106</v>
      </c>
      <c r="D15" s="76"/>
      <c r="E15" s="89"/>
      <c r="F15" s="77">
        <v>20159.86</v>
      </c>
      <c r="G15" s="78">
        <v>1877.28</v>
      </c>
      <c r="H15" s="78">
        <v>30000</v>
      </c>
      <c r="I15" s="78">
        <v>2803.6095399999999</v>
      </c>
      <c r="J15" s="77" t="s">
        <v>157</v>
      </c>
      <c r="K15" s="79">
        <f t="shared" si="2"/>
        <v>20.159860000000002</v>
      </c>
      <c r="L15" s="79">
        <f t="shared" si="0"/>
        <v>30</v>
      </c>
      <c r="M15" s="79">
        <f t="shared" si="8"/>
        <v>1.8772800000000001</v>
      </c>
      <c r="N15" s="79">
        <f t="shared" si="1"/>
        <v>2.8036095400000001</v>
      </c>
      <c r="O15" s="80">
        <f t="shared" si="3"/>
        <v>0.49344239538055057</v>
      </c>
      <c r="P15" s="80">
        <f t="shared" si="4"/>
        <v>9.3453651333333332E-2</v>
      </c>
      <c r="Q15" s="80">
        <f>Sheet1!I15/'26년 고객사별 예상 매출 销售预计(客户别)'!$I$2</f>
        <v>1.4163986528392057E-2</v>
      </c>
      <c r="R15" s="79" t="str">
        <f t="shared" si="5"/>
        <v>▲5</v>
      </c>
      <c r="S15" t="str">
        <f t="shared" si="6"/>
        <v>MNS</v>
      </c>
      <c r="T15" t="s">
        <v>153</v>
      </c>
      <c r="U15" t="str">
        <f t="shared" si="7"/>
        <v>SAM</v>
      </c>
    </row>
    <row r="16" spans="1:21" ht="17.25" thickBot="1">
      <c r="A16" s="81">
        <v>14</v>
      </c>
      <c r="B16" s="81" t="s">
        <v>221</v>
      </c>
      <c r="C16" s="81" t="s">
        <v>102</v>
      </c>
      <c r="D16" s="81"/>
      <c r="E16" s="81"/>
      <c r="F16" s="82">
        <v>2727.06</v>
      </c>
      <c r="G16" s="83">
        <v>921.5</v>
      </c>
      <c r="H16" s="83">
        <v>0</v>
      </c>
      <c r="I16" s="83">
        <v>2794.7134000000001</v>
      </c>
      <c r="J16" s="82" t="s">
        <v>686</v>
      </c>
      <c r="K16" s="84">
        <f t="shared" si="2"/>
        <v>2.7270599999999998</v>
      </c>
      <c r="L16" s="84">
        <f t="shared" si="0"/>
        <v>0</v>
      </c>
      <c r="M16" s="84">
        <f t="shared" si="8"/>
        <v>0.92149999999999999</v>
      </c>
      <c r="N16" s="84">
        <f t="shared" si="1"/>
        <v>2.7947134</v>
      </c>
      <c r="O16" s="85" t="s">
        <v>35</v>
      </c>
      <c r="P16" s="85" t="e">
        <f t="shared" si="4"/>
        <v>#DIV/0!</v>
      </c>
      <c r="Q16" s="85">
        <f>Sheet1!I16/'26년 고객사별 예상 매출 销售预计(客户别)'!$I$2</f>
        <v>1.4119042749553765E-2</v>
      </c>
      <c r="R16" s="84" t="str">
        <f t="shared" si="5"/>
        <v>▲16</v>
      </c>
      <c r="S16" t="e">
        <f t="shared" si="6"/>
        <v>#N/A</v>
      </c>
      <c r="T16" t="s">
        <v>158</v>
      </c>
      <c r="U16" t="str">
        <f t="shared" si="7"/>
        <v>MNS</v>
      </c>
    </row>
    <row r="17" spans="1:21" ht="17.25" thickBot="1">
      <c r="A17" s="76">
        <v>15</v>
      </c>
      <c r="B17" s="76" t="s">
        <v>159</v>
      </c>
      <c r="C17" s="76" t="s">
        <v>106</v>
      </c>
      <c r="D17" s="76"/>
      <c r="E17" s="89" t="s">
        <v>699</v>
      </c>
      <c r="F17" s="77">
        <v>198.03</v>
      </c>
      <c r="G17" s="78">
        <v>0.99</v>
      </c>
      <c r="H17" s="78">
        <v>0</v>
      </c>
      <c r="I17" s="78">
        <v>2681.8927899999999</v>
      </c>
      <c r="J17" s="77" t="s">
        <v>687</v>
      </c>
      <c r="K17" s="79">
        <f t="shared" si="2"/>
        <v>0.19803000000000001</v>
      </c>
      <c r="L17" s="79">
        <f t="shared" si="0"/>
        <v>0</v>
      </c>
      <c r="M17" s="79">
        <f t="shared" si="8"/>
        <v>9.8999999999999999E-4</v>
      </c>
      <c r="N17" s="79">
        <f t="shared" si="1"/>
        <v>2.68189279</v>
      </c>
      <c r="O17" s="80" t="s">
        <v>35</v>
      </c>
      <c r="P17" s="80" t="e">
        <f t="shared" si="4"/>
        <v>#DIV/0!</v>
      </c>
      <c r="Q17" s="80">
        <f>Sheet1!I17/'26년 고객사별 예상 매출 销售预计(客户别)'!$I$2</f>
        <v>1.3549066946088288E-2</v>
      </c>
      <c r="R17" s="79" t="str">
        <f t="shared" si="5"/>
        <v>▲103</v>
      </c>
      <c r="S17" t="str">
        <f t="shared" si="6"/>
        <v>WXJ</v>
      </c>
      <c r="T17" t="s">
        <v>122</v>
      </c>
      <c r="U17" t="e">
        <f t="shared" si="7"/>
        <v>#N/A</v>
      </c>
    </row>
    <row r="18" spans="1:21" ht="17.25" thickBot="1">
      <c r="A18" s="81">
        <v>16</v>
      </c>
      <c r="B18" s="81" t="s">
        <v>160</v>
      </c>
      <c r="C18" s="81" t="s">
        <v>102</v>
      </c>
      <c r="D18" s="81"/>
      <c r="E18" s="81" t="s">
        <v>699</v>
      </c>
      <c r="F18" s="82">
        <v>3361.97</v>
      </c>
      <c r="G18" s="83">
        <v>0</v>
      </c>
      <c r="H18" s="83">
        <v>20000</v>
      </c>
      <c r="I18" s="83">
        <v>2456.1448799999998</v>
      </c>
      <c r="J18" s="82" t="s">
        <v>688</v>
      </c>
      <c r="K18" s="84">
        <f t="shared" si="2"/>
        <v>3.3619699999999999</v>
      </c>
      <c r="L18" s="84">
        <f t="shared" si="0"/>
        <v>20</v>
      </c>
      <c r="M18" s="84">
        <f>IFERROR(G18/1000,0)</f>
        <v>0</v>
      </c>
      <c r="N18" s="84">
        <f t="shared" ref="N18:N33" si="9">I18/1000</f>
        <v>2.4561448799999996</v>
      </c>
      <c r="O18" s="85" t="s">
        <v>35</v>
      </c>
      <c r="P18" s="85">
        <f t="shared" si="4"/>
        <v>0.12280724399999998</v>
      </c>
      <c r="Q18" s="85">
        <f>Sheet1!I18/'26년 고객사별 예상 매출 销售预计(客户别)'!$I$2</f>
        <v>1.2408576335526068E-2</v>
      </c>
      <c r="R18" s="84" t="str">
        <f t="shared" si="5"/>
        <v>▲104</v>
      </c>
      <c r="S18" t="str">
        <f t="shared" si="6"/>
        <v>HLR</v>
      </c>
      <c r="T18" t="s">
        <v>123</v>
      </c>
      <c r="U18" t="e">
        <f t="shared" si="7"/>
        <v>#N/A</v>
      </c>
    </row>
    <row r="19" spans="1:21" ht="17.25" hidden="1" thickBot="1">
      <c r="A19" s="81">
        <v>16</v>
      </c>
      <c r="B19" s="81" t="s">
        <v>205</v>
      </c>
      <c r="C19" s="81" t="s">
        <v>119</v>
      </c>
      <c r="D19" s="81"/>
      <c r="E19" s="90"/>
      <c r="F19" s="82">
        <v>5070.66</v>
      </c>
      <c r="G19" s="83">
        <v>2485.5100000000002</v>
      </c>
      <c r="H19" s="83">
        <v>0</v>
      </c>
      <c r="I19" s="83">
        <v>2154.71783</v>
      </c>
      <c r="J19" s="82" t="s">
        <v>168</v>
      </c>
      <c r="K19" s="84">
        <f t="shared" si="2"/>
        <v>5.0706600000000002</v>
      </c>
      <c r="L19" s="84">
        <f t="shared" si="0"/>
        <v>0</v>
      </c>
      <c r="M19" s="84">
        <f>IFERROR(G19/1000,0)</f>
        <v>2.4855100000000001</v>
      </c>
      <c r="N19" s="84">
        <f t="shared" si="9"/>
        <v>2.1547178300000001</v>
      </c>
      <c r="O19" s="85">
        <f t="shared" si="3"/>
        <v>-0.13308824748240805</v>
      </c>
      <c r="P19" s="80" t="e">
        <f t="shared" si="4"/>
        <v>#DIV/0!</v>
      </c>
      <c r="Q19" s="85">
        <f>Sheet1!I19/'26년 고객사별 예상 매출 销售预计(客户别)'!$I$2</f>
        <v>1.0885750630098858E-2</v>
      </c>
      <c r="R19" s="84" t="str">
        <f t="shared" si="5"/>
        <v>▼4</v>
      </c>
      <c r="S19" t="e">
        <f t="shared" si="6"/>
        <v>#N/A</v>
      </c>
      <c r="T19" t="s">
        <v>160</v>
      </c>
      <c r="U19" t="str">
        <f t="shared" si="7"/>
        <v>HLR</v>
      </c>
    </row>
    <row r="20" spans="1:21" ht="17.25" thickBot="1">
      <c r="A20" s="76">
        <v>17</v>
      </c>
      <c r="B20" s="76" t="s">
        <v>161</v>
      </c>
      <c r="C20" s="76" t="s">
        <v>104</v>
      </c>
      <c r="D20" s="76"/>
      <c r="E20" s="89"/>
      <c r="F20" s="77">
        <v>19890.63</v>
      </c>
      <c r="G20" s="78">
        <v>6601.73</v>
      </c>
      <c r="H20" s="78">
        <v>20000</v>
      </c>
      <c r="I20" s="78">
        <v>1791.6230399999999</v>
      </c>
      <c r="J20" s="77" t="s">
        <v>689</v>
      </c>
      <c r="K20" s="79">
        <f t="shared" si="2"/>
        <v>19.890630000000002</v>
      </c>
      <c r="L20" s="79">
        <f t="shared" si="0"/>
        <v>20</v>
      </c>
      <c r="M20" s="79">
        <f t="shared" ref="M20:M33" si="10">IFERROR(G20/1000,0)</f>
        <v>6.6017299999999999</v>
      </c>
      <c r="N20" s="79">
        <f t="shared" si="9"/>
        <v>1.7916230399999999</v>
      </c>
      <c r="O20" s="80">
        <f t="shared" si="3"/>
        <v>-0.72861309989957179</v>
      </c>
      <c r="P20" s="80">
        <f t="shared" si="4"/>
        <v>8.9581151999999997E-2</v>
      </c>
      <c r="Q20" s="80">
        <f>Sheet1!I20/'26년 고객사별 예상 매출 销售预计(客户别)'!$I$2</f>
        <v>9.0513761779098621E-3</v>
      </c>
      <c r="R20" s="79" t="str">
        <f t="shared" si="5"/>
        <v>▼10</v>
      </c>
      <c r="S20" t="str">
        <f t="shared" si="6"/>
        <v>MIN</v>
      </c>
      <c r="T20" t="s">
        <v>124</v>
      </c>
      <c r="U20" t="e">
        <f t="shared" si="7"/>
        <v>#N/A</v>
      </c>
    </row>
    <row r="21" spans="1:21" ht="17.25" thickBot="1">
      <c r="A21" s="81">
        <v>18</v>
      </c>
      <c r="B21" s="81" t="s">
        <v>163</v>
      </c>
      <c r="C21" s="81" t="s">
        <v>104</v>
      </c>
      <c r="D21" s="81"/>
      <c r="E21" s="81"/>
      <c r="F21" s="82">
        <v>35865.769999999997</v>
      </c>
      <c r="G21" s="83">
        <v>10159.780000000001</v>
      </c>
      <c r="H21" s="83">
        <v>0</v>
      </c>
      <c r="I21" s="83">
        <v>1734.2847999999999</v>
      </c>
      <c r="J21" s="82" t="s">
        <v>690</v>
      </c>
      <c r="K21" s="84">
        <f t="shared" si="2"/>
        <v>35.865769999999998</v>
      </c>
      <c r="L21" s="84">
        <f t="shared" si="0"/>
        <v>0</v>
      </c>
      <c r="M21" s="84">
        <f t="shared" si="10"/>
        <v>10.159780000000001</v>
      </c>
      <c r="N21" s="84">
        <f t="shared" si="9"/>
        <v>1.7342848</v>
      </c>
      <c r="O21" s="85">
        <f t="shared" si="3"/>
        <v>-0.82929898088344445</v>
      </c>
      <c r="P21" s="85" t="e">
        <f t="shared" si="4"/>
        <v>#DIV/0!</v>
      </c>
      <c r="Q21" s="85">
        <f>Sheet1!I21/'26년 고객사별 예상 매출 销售预计(客户别)'!$I$2</f>
        <v>8.7617002985355494E-3</v>
      </c>
      <c r="R21" s="84" t="str">
        <f t="shared" si="5"/>
        <v>▼16</v>
      </c>
      <c r="S21" t="e">
        <f t="shared" si="6"/>
        <v>#N/A</v>
      </c>
      <c r="T21" t="s">
        <v>156</v>
      </c>
      <c r="U21" t="str">
        <f t="shared" si="7"/>
        <v>ZIF</v>
      </c>
    </row>
    <row r="22" spans="1:21" ht="17.25" thickBot="1">
      <c r="A22" s="76">
        <v>19</v>
      </c>
      <c r="B22" s="76" t="s">
        <v>164</v>
      </c>
      <c r="C22" s="76" t="s">
        <v>106</v>
      </c>
      <c r="D22" s="76"/>
      <c r="E22" s="89"/>
      <c r="F22" s="77">
        <v>4978.51</v>
      </c>
      <c r="G22" s="78">
        <v>1280.9100000000001</v>
      </c>
      <c r="H22" s="78">
        <v>0</v>
      </c>
      <c r="I22" s="78">
        <v>1673.40263</v>
      </c>
      <c r="J22" s="77" t="s">
        <v>146</v>
      </c>
      <c r="K22" s="79">
        <f t="shared" si="2"/>
        <v>4.97851</v>
      </c>
      <c r="L22" s="79">
        <f t="shared" si="0"/>
        <v>0</v>
      </c>
      <c r="M22" s="79">
        <f t="shared" si="10"/>
        <v>1.28091</v>
      </c>
      <c r="N22" s="79">
        <f t="shared" si="9"/>
        <v>1.67340263</v>
      </c>
      <c r="O22" s="80">
        <f t="shared" si="3"/>
        <v>0.30641702383461761</v>
      </c>
      <c r="P22" s="80" t="e">
        <f t="shared" si="4"/>
        <v>#DIV/0!</v>
      </c>
      <c r="Q22" s="80">
        <f>Sheet1!I22/'26년 고객사별 예상 매출 销售预计(客户别)'!$I$2</f>
        <v>8.4541202937609642E-3</v>
      </c>
      <c r="R22" s="79" t="str">
        <f t="shared" si="5"/>
        <v>▲2</v>
      </c>
      <c r="S22" t="e">
        <f t="shared" si="6"/>
        <v>#N/A</v>
      </c>
      <c r="T22" t="s">
        <v>98</v>
      </c>
      <c r="U22" t="e">
        <f t="shared" si="7"/>
        <v>#N/A</v>
      </c>
    </row>
    <row r="23" spans="1:21" ht="17.25" thickBot="1">
      <c r="A23" s="81">
        <v>20</v>
      </c>
      <c r="B23" s="81" t="s">
        <v>166</v>
      </c>
      <c r="C23" s="81" t="s">
        <v>102</v>
      </c>
      <c r="D23" s="81"/>
      <c r="E23" s="81"/>
      <c r="F23" s="82">
        <v>4920.3900000000003</v>
      </c>
      <c r="G23" s="83">
        <v>1388.41</v>
      </c>
      <c r="H23" s="83">
        <v>10000</v>
      </c>
      <c r="I23" s="83">
        <v>1605.9060899999999</v>
      </c>
      <c r="J23" s="82" t="s">
        <v>141</v>
      </c>
      <c r="K23" s="84">
        <f t="shared" si="2"/>
        <v>4.9203900000000003</v>
      </c>
      <c r="L23" s="84">
        <f t="shared" si="0"/>
        <v>10</v>
      </c>
      <c r="M23" s="84">
        <f t="shared" si="10"/>
        <v>1.3884100000000001</v>
      </c>
      <c r="N23" s="84">
        <f t="shared" si="9"/>
        <v>1.60590609</v>
      </c>
      <c r="O23" s="85">
        <f t="shared" si="3"/>
        <v>0.15665119813311615</v>
      </c>
      <c r="P23" s="85">
        <f t="shared" si="4"/>
        <v>0.160590609</v>
      </c>
      <c r="Q23" s="85">
        <f>Sheet1!I23/'26년 고객사별 예상 매출 销售预计(客户别)'!$I$2</f>
        <v>8.1131241351899384E-3</v>
      </c>
      <c r="R23" s="84" t="str">
        <f t="shared" si="5"/>
        <v>-</v>
      </c>
      <c r="S23" t="str">
        <f t="shared" si="6"/>
        <v>VCI</v>
      </c>
      <c r="T23" t="s">
        <v>161</v>
      </c>
      <c r="U23" t="str">
        <f t="shared" si="7"/>
        <v>MIN</v>
      </c>
    </row>
    <row r="24" spans="1:21" ht="17.25" thickBot="1">
      <c r="A24" s="76">
        <v>21</v>
      </c>
      <c r="B24" s="76" t="s">
        <v>167</v>
      </c>
      <c r="C24" s="76" t="s">
        <v>104</v>
      </c>
      <c r="D24" s="76"/>
      <c r="E24" s="89"/>
      <c r="F24" s="77">
        <v>7285.87</v>
      </c>
      <c r="G24" s="78">
        <v>4307.8599999999997</v>
      </c>
      <c r="H24" s="78">
        <v>0</v>
      </c>
      <c r="I24" s="78">
        <v>1508.5945999999999</v>
      </c>
      <c r="J24" s="77" t="s">
        <v>691</v>
      </c>
      <c r="K24" s="79">
        <f t="shared" si="2"/>
        <v>7.2858700000000001</v>
      </c>
      <c r="L24" s="79">
        <f t="shared" si="0"/>
        <v>0</v>
      </c>
      <c r="M24" s="79">
        <f t="shared" si="10"/>
        <v>4.3078599999999998</v>
      </c>
      <c r="N24" s="79">
        <f t="shared" si="9"/>
        <v>1.5085945999999999</v>
      </c>
      <c r="O24" s="80">
        <f t="shared" si="3"/>
        <v>-0.64980417190902207</v>
      </c>
      <c r="P24" s="80" t="e">
        <f t="shared" si="4"/>
        <v>#DIV/0!</v>
      </c>
      <c r="Q24" s="80">
        <f>Sheet1!I24/'26년 고객사별 예상 매출 销售预计(客户别)'!$I$2</f>
        <v>7.621501242004264E-3</v>
      </c>
      <c r="R24" s="79" t="str">
        <f t="shared" si="5"/>
        <v>▼11</v>
      </c>
      <c r="S24" t="e">
        <f t="shared" si="6"/>
        <v>#N/A</v>
      </c>
      <c r="T24" t="s">
        <v>101</v>
      </c>
      <c r="U24" t="e">
        <f t="shared" si="7"/>
        <v>#N/A</v>
      </c>
    </row>
    <row r="25" spans="1:21" ht="17.25" thickBot="1">
      <c r="A25" s="81">
        <v>22</v>
      </c>
      <c r="B25" s="81" t="s">
        <v>169</v>
      </c>
      <c r="C25" s="81" t="s">
        <v>104</v>
      </c>
      <c r="D25" s="81"/>
      <c r="E25" s="81"/>
      <c r="F25" s="82">
        <v>7956.63</v>
      </c>
      <c r="G25" s="83">
        <v>2427.5100000000002</v>
      </c>
      <c r="H25" s="83">
        <v>10000</v>
      </c>
      <c r="I25" s="83">
        <v>1407.99467</v>
      </c>
      <c r="J25" s="82" t="s">
        <v>692</v>
      </c>
      <c r="K25" s="84">
        <f t="shared" si="2"/>
        <v>7.9566300000000005</v>
      </c>
      <c r="L25" s="84">
        <f t="shared" si="0"/>
        <v>10</v>
      </c>
      <c r="M25" s="84">
        <f t="shared" si="10"/>
        <v>2.4275100000000003</v>
      </c>
      <c r="N25" s="84">
        <f t="shared" si="9"/>
        <v>1.4079946700000001</v>
      </c>
      <c r="O25" s="85" t="s">
        <v>35</v>
      </c>
      <c r="P25" s="85">
        <f t="shared" si="4"/>
        <v>0.14079946700000001</v>
      </c>
      <c r="Q25" s="85">
        <f>Sheet1!I25/'26년 고객사별 예상 매출 销售预计(客户别)'!$I$2</f>
        <v>7.1132649726708451E-3</v>
      </c>
      <c r="R25" s="84" t="str">
        <f t="shared" si="5"/>
        <v>▼9</v>
      </c>
      <c r="S25" t="str">
        <f t="shared" si="6"/>
        <v>KFZ</v>
      </c>
      <c r="T25" t="s">
        <v>125</v>
      </c>
      <c r="U25" t="e">
        <f t="shared" si="7"/>
        <v>#N/A</v>
      </c>
    </row>
    <row r="26" spans="1:21" ht="17.25" thickBot="1">
      <c r="A26" s="76">
        <v>23</v>
      </c>
      <c r="B26" s="76" t="s">
        <v>170</v>
      </c>
      <c r="C26" s="76" t="s">
        <v>106</v>
      </c>
      <c r="D26" s="86"/>
      <c r="E26" s="89"/>
      <c r="F26" s="77">
        <v>2861.73</v>
      </c>
      <c r="G26" s="78">
        <v>0</v>
      </c>
      <c r="H26" s="78">
        <v>0</v>
      </c>
      <c r="I26" s="78">
        <v>1317.9052999999999</v>
      </c>
      <c r="J26" s="77" t="s">
        <v>693</v>
      </c>
      <c r="K26" s="79">
        <f t="shared" si="2"/>
        <v>2.8617300000000001</v>
      </c>
      <c r="L26" s="79">
        <f t="shared" si="0"/>
        <v>0</v>
      </c>
      <c r="M26" s="79">
        <f t="shared" si="10"/>
        <v>0</v>
      </c>
      <c r="N26" s="79">
        <f t="shared" si="9"/>
        <v>1.3179052999999998</v>
      </c>
      <c r="O26" s="80" t="s">
        <v>35</v>
      </c>
      <c r="P26" s="80" t="e">
        <f t="shared" si="4"/>
        <v>#DIV/0!</v>
      </c>
      <c r="Q26" s="80">
        <f>Sheet1!I26/'26년 고객사별 예상 매출 销售预计(客户别)'!$I$2</f>
        <v>6.6581286190431823E-3</v>
      </c>
      <c r="R26" s="79" t="str">
        <f t="shared" si="5"/>
        <v>▲96</v>
      </c>
      <c r="S26" t="e">
        <f t="shared" si="6"/>
        <v>#N/A</v>
      </c>
      <c r="T26" t="s">
        <v>159</v>
      </c>
      <c r="U26" t="str">
        <f t="shared" si="7"/>
        <v>WXJ</v>
      </c>
    </row>
    <row r="27" spans="1:21" ht="17.25" thickBot="1">
      <c r="A27" s="81">
        <v>24</v>
      </c>
      <c r="B27" s="81" t="s">
        <v>171</v>
      </c>
      <c r="C27" s="81" t="s">
        <v>102</v>
      </c>
      <c r="D27" s="86" t="s">
        <v>698</v>
      </c>
      <c r="E27" s="90"/>
      <c r="F27" s="82">
        <v>0</v>
      </c>
      <c r="G27" s="83">
        <v>0</v>
      </c>
      <c r="H27" s="83">
        <v>0</v>
      </c>
      <c r="I27" s="83">
        <v>1231.7753399999999</v>
      </c>
      <c r="J27" s="82" t="s">
        <v>694</v>
      </c>
      <c r="K27" s="84">
        <f t="shared" si="2"/>
        <v>0</v>
      </c>
      <c r="L27" s="84">
        <f t="shared" si="0"/>
        <v>0</v>
      </c>
      <c r="M27" s="84">
        <f t="shared" si="10"/>
        <v>0</v>
      </c>
      <c r="N27" s="84">
        <f t="shared" si="9"/>
        <v>1.23177534</v>
      </c>
      <c r="O27" s="85" t="e">
        <f t="shared" si="3"/>
        <v>#DIV/0!</v>
      </c>
      <c r="P27" s="85" t="e">
        <f t="shared" si="4"/>
        <v>#DIV/0!</v>
      </c>
      <c r="Q27" s="85">
        <f>Sheet1!I27/'26년 고객사별 예상 매출 销售预计(客户别)'!$I$2</f>
        <v>6.2229954181727979E-3</v>
      </c>
      <c r="R27" s="84" t="str">
        <f t="shared" si="5"/>
        <v>▲95</v>
      </c>
      <c r="S27" t="e">
        <f t="shared" si="6"/>
        <v>#N/A</v>
      </c>
      <c r="T27" t="s">
        <v>172</v>
      </c>
      <c r="U27" t="str">
        <f t="shared" si="7"/>
        <v>JMS</v>
      </c>
    </row>
    <row r="28" spans="1:21" ht="17.25" thickBot="1">
      <c r="A28" s="76">
        <v>25</v>
      </c>
      <c r="B28" s="76" t="s">
        <v>172</v>
      </c>
      <c r="C28" s="76" t="s">
        <v>104</v>
      </c>
      <c r="D28" s="76"/>
      <c r="E28" s="89"/>
      <c r="F28" s="77">
        <v>6498.92</v>
      </c>
      <c r="G28" s="78">
        <v>1674.84</v>
      </c>
      <c r="H28" s="78">
        <v>7000</v>
      </c>
      <c r="I28" s="78">
        <v>1216.32546</v>
      </c>
      <c r="J28" s="77" t="s">
        <v>162</v>
      </c>
      <c r="K28" s="79">
        <f t="shared" si="2"/>
        <v>6.49892</v>
      </c>
      <c r="L28" s="79">
        <f t="shared" si="0"/>
        <v>7</v>
      </c>
      <c r="M28" s="79">
        <f t="shared" si="10"/>
        <v>1.6748399999999999</v>
      </c>
      <c r="N28" s="79">
        <f t="shared" si="9"/>
        <v>1.21632546</v>
      </c>
      <c r="O28" s="80">
        <f t="shared" si="3"/>
        <v>-0.27376617467937231</v>
      </c>
      <c r="P28" s="80">
        <f t="shared" si="4"/>
        <v>0.17376078</v>
      </c>
      <c r="Q28" s="80">
        <f>Sheet1!I28/'26년 고객사별 예상 매출 销售预计(客户别)'!$I$2</f>
        <v>6.144941791566408E-3</v>
      </c>
      <c r="R28" s="79" t="str">
        <f t="shared" si="5"/>
        <v>▼7</v>
      </c>
      <c r="S28" t="str">
        <f t="shared" si="6"/>
        <v>JMS</v>
      </c>
      <c r="T28" t="s">
        <v>126</v>
      </c>
      <c r="U28" t="e">
        <f t="shared" si="7"/>
        <v>#N/A</v>
      </c>
    </row>
    <row r="29" spans="1:21" ht="17.25" thickBot="1">
      <c r="A29" s="81">
        <v>26</v>
      </c>
      <c r="B29" s="81" t="s">
        <v>173</v>
      </c>
      <c r="C29" s="81" t="s">
        <v>102</v>
      </c>
      <c r="D29" s="81"/>
      <c r="E29" s="90"/>
      <c r="F29" s="82">
        <v>4261.25</v>
      </c>
      <c r="G29" s="83">
        <v>1116.31</v>
      </c>
      <c r="H29" s="83">
        <v>0</v>
      </c>
      <c r="I29" s="83">
        <v>1112.8484000000001</v>
      </c>
      <c r="J29" s="82" t="s">
        <v>141</v>
      </c>
      <c r="K29" s="84">
        <f t="shared" si="2"/>
        <v>4.2612500000000004</v>
      </c>
      <c r="L29" s="84">
        <f t="shared" si="0"/>
        <v>0</v>
      </c>
      <c r="M29" s="84">
        <f t="shared" si="10"/>
        <v>1.1163099999999999</v>
      </c>
      <c r="N29" s="84">
        <f t="shared" si="9"/>
        <v>1.1128484000000001</v>
      </c>
      <c r="O29" s="85" t="s">
        <v>35</v>
      </c>
      <c r="P29" s="85" t="e">
        <f t="shared" si="4"/>
        <v>#DIV/0!</v>
      </c>
      <c r="Q29" s="85">
        <f>Sheet1!I29/'26년 고객사별 예상 매출 销售预计(客户别)'!$I$2</f>
        <v>5.6221701063774582E-3</v>
      </c>
      <c r="R29" s="84" t="str">
        <f t="shared" si="5"/>
        <v>-</v>
      </c>
      <c r="S29" t="e">
        <f t="shared" si="6"/>
        <v>#N/A</v>
      </c>
      <c r="T29" t="s">
        <v>127</v>
      </c>
      <c r="U29" t="e">
        <f t="shared" si="7"/>
        <v>#N/A</v>
      </c>
    </row>
    <row r="30" spans="1:21" ht="17.25" thickBot="1">
      <c r="A30" s="76">
        <v>27</v>
      </c>
      <c r="B30" s="76" t="s">
        <v>174</v>
      </c>
      <c r="C30" s="76" t="s">
        <v>104</v>
      </c>
      <c r="D30" s="76"/>
      <c r="E30" s="89" t="s">
        <v>699</v>
      </c>
      <c r="F30" s="77">
        <v>359.05</v>
      </c>
      <c r="G30" s="78">
        <v>0</v>
      </c>
      <c r="H30" s="78">
        <v>0</v>
      </c>
      <c r="I30" s="78">
        <v>1075.73056</v>
      </c>
      <c r="J30" s="77" t="s">
        <v>695</v>
      </c>
      <c r="K30" s="79">
        <f t="shared" si="2"/>
        <v>0.35905000000000004</v>
      </c>
      <c r="L30" s="79">
        <f t="shared" si="0"/>
        <v>0</v>
      </c>
      <c r="M30" s="79">
        <f t="shared" si="10"/>
        <v>0</v>
      </c>
      <c r="N30" s="79">
        <f t="shared" si="9"/>
        <v>1.07573056</v>
      </c>
      <c r="O30" s="80" t="s">
        <v>35</v>
      </c>
      <c r="P30" s="80" t="e">
        <f t="shared" si="4"/>
        <v>#DIV/0!</v>
      </c>
      <c r="Q30" s="80">
        <f>Sheet1!I30/'26년 고객사별 예상 매출 销售预计(客户别)'!$I$2</f>
        <v>5.4346487778107804E-3</v>
      </c>
      <c r="R30" s="79" t="str">
        <f t="shared" si="5"/>
        <v>▲92</v>
      </c>
      <c r="S30" t="e">
        <f t="shared" si="6"/>
        <v>#N/A</v>
      </c>
      <c r="T30" t="s">
        <v>169</v>
      </c>
      <c r="U30" t="str">
        <f t="shared" si="7"/>
        <v>KFZ</v>
      </c>
    </row>
    <row r="31" spans="1:21" ht="17.25" thickBot="1">
      <c r="A31" s="81">
        <v>28</v>
      </c>
      <c r="B31" s="81" t="s">
        <v>175</v>
      </c>
      <c r="C31" s="81" t="s">
        <v>104</v>
      </c>
      <c r="D31" s="81"/>
      <c r="E31" s="90"/>
      <c r="F31" s="82">
        <v>798.42</v>
      </c>
      <c r="G31" s="83">
        <v>622.02</v>
      </c>
      <c r="H31" s="83">
        <v>0</v>
      </c>
      <c r="I31" s="83">
        <v>1013.31718</v>
      </c>
      <c r="J31" s="82" t="s">
        <v>696</v>
      </c>
      <c r="K31" s="84">
        <f t="shared" si="2"/>
        <v>0.79841999999999991</v>
      </c>
      <c r="L31" s="84">
        <f t="shared" si="0"/>
        <v>0</v>
      </c>
      <c r="M31" s="84">
        <f t="shared" si="10"/>
        <v>0.62202000000000002</v>
      </c>
      <c r="N31" s="84">
        <f t="shared" si="9"/>
        <v>1.01331718</v>
      </c>
      <c r="O31" s="85" t="s">
        <v>35</v>
      </c>
      <c r="P31" s="85" t="e">
        <f t="shared" si="4"/>
        <v>#DIV/0!</v>
      </c>
      <c r="Q31" s="85">
        <f>Sheet1!I31/'26년 고객사별 예상 매출 销售预计(客户别)'!$I$2</f>
        <v>5.1193330175742765E-3</v>
      </c>
      <c r="R31" s="84" t="str">
        <f t="shared" si="5"/>
        <v>▲10</v>
      </c>
      <c r="S31" t="e">
        <f t="shared" si="6"/>
        <v>#N/A</v>
      </c>
      <c r="T31" t="s">
        <v>166</v>
      </c>
      <c r="U31" t="str">
        <f t="shared" si="7"/>
        <v>VCI</v>
      </c>
    </row>
    <row r="32" spans="1:21" ht="17.25" thickBot="1">
      <c r="A32" s="76">
        <v>29</v>
      </c>
      <c r="B32" s="76" t="s">
        <v>176</v>
      </c>
      <c r="C32" s="76" t="s">
        <v>102</v>
      </c>
      <c r="D32" s="76"/>
      <c r="E32" s="89"/>
      <c r="F32" s="77">
        <v>2064.79</v>
      </c>
      <c r="G32" s="78">
        <v>530.98</v>
      </c>
      <c r="H32" s="78">
        <v>0</v>
      </c>
      <c r="I32" s="78">
        <v>923.80069000000003</v>
      </c>
      <c r="J32" s="77" t="s">
        <v>177</v>
      </c>
      <c r="K32" s="79">
        <f t="shared" si="2"/>
        <v>2.0647899999999999</v>
      </c>
      <c r="L32" s="79">
        <f t="shared" si="0"/>
        <v>0</v>
      </c>
      <c r="M32" s="79">
        <f t="shared" si="10"/>
        <v>0.53098000000000001</v>
      </c>
      <c r="N32" s="79">
        <f t="shared" si="9"/>
        <v>0.92380068999999998</v>
      </c>
      <c r="O32" s="80" t="s">
        <v>35</v>
      </c>
      <c r="P32" s="80" t="e">
        <f t="shared" si="4"/>
        <v>#DIV/0!</v>
      </c>
      <c r="Q32" s="80">
        <f>Sheet1!I32/'26년 고객사별 예상 매출 销售预计(客户别)'!$I$2</f>
        <v>4.667090884588475E-3</v>
      </c>
      <c r="R32" s="79" t="str">
        <f t="shared" si="5"/>
        <v>▲14</v>
      </c>
      <c r="S32" t="e">
        <f t="shared" si="6"/>
        <v>#N/A</v>
      </c>
    </row>
    <row r="33" spans="1:19" ht="17.25" thickBot="1">
      <c r="A33" s="81">
        <v>30</v>
      </c>
      <c r="B33" s="81" t="s">
        <v>178</v>
      </c>
      <c r="C33" s="81" t="s">
        <v>106</v>
      </c>
      <c r="D33" s="86" t="s">
        <v>698</v>
      </c>
      <c r="E33" s="90"/>
      <c r="F33" s="83">
        <v>512.79999999999995</v>
      </c>
      <c r="G33" s="83">
        <v>123.15</v>
      </c>
      <c r="H33" s="83">
        <v>0</v>
      </c>
      <c r="I33" s="83">
        <v>891.75855999999999</v>
      </c>
      <c r="J33" s="83" t="s">
        <v>697</v>
      </c>
      <c r="K33" s="84">
        <f t="shared" si="2"/>
        <v>0.51279999999999992</v>
      </c>
      <c r="L33" s="84">
        <f t="shared" si="0"/>
        <v>0</v>
      </c>
      <c r="M33" s="84">
        <f t="shared" si="10"/>
        <v>0.12315000000000001</v>
      </c>
      <c r="N33" s="84">
        <f t="shared" si="9"/>
        <v>0.89175855999999998</v>
      </c>
      <c r="O33" s="85" t="s">
        <v>35</v>
      </c>
      <c r="P33" s="85" t="e">
        <f t="shared" si="4"/>
        <v>#DIV/0!</v>
      </c>
      <c r="Q33" s="85">
        <f>Sheet1!I33/'26년 고객사별 예상 매출 销售预计(客户别)'!$I$2</f>
        <v>4.5052123165547154E-3</v>
      </c>
      <c r="R33" s="84" t="str">
        <f t="shared" si="5"/>
        <v>▲56</v>
      </c>
      <c r="S33" t="e">
        <f t="shared" si="6"/>
        <v>#N/A</v>
      </c>
    </row>
    <row r="34" spans="1:19" ht="17.25" thickBot="1">
      <c r="A34" s="123" t="s">
        <v>179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75">
        <v>133</v>
      </c>
      <c r="O34" s="87"/>
      <c r="P34" s="87"/>
      <c r="Q34" s="88">
        <v>0.67</v>
      </c>
      <c r="R34" s="87"/>
    </row>
    <row r="35" spans="1:19" ht="17.25" thickBot="1">
      <c r="A35" s="123" t="s">
        <v>180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75">
        <v>157</v>
      </c>
      <c r="O35" s="87"/>
      <c r="P35" s="87"/>
      <c r="Q35" s="88">
        <v>0.79</v>
      </c>
      <c r="R35" s="87"/>
    </row>
    <row r="36" spans="1:19" ht="17.25" thickBot="1">
      <c r="A36" s="123" t="s">
        <v>181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75">
        <v>169</v>
      </c>
      <c r="O36" s="87"/>
      <c r="P36" s="87"/>
      <c r="Q36" s="88">
        <v>0.85</v>
      </c>
      <c r="R36" s="87"/>
    </row>
  </sheetData>
  <mergeCells count="3">
    <mergeCell ref="A34:M34"/>
    <mergeCell ref="A35:M35"/>
    <mergeCell ref="A36:M3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3803-2635-4D11-AF26-59264DAE69AD}">
  <dimension ref="A1:H389"/>
  <sheetViews>
    <sheetView topLeftCell="A89" workbookViewId="0">
      <selection activeCell="F92" sqref="F92"/>
    </sheetView>
  </sheetViews>
  <sheetFormatPr defaultRowHeight="16.5"/>
  <sheetData>
    <row r="1" spans="1:8" ht="17.25" thickBot="1">
      <c r="A1" s="65" t="s">
        <v>182</v>
      </c>
      <c r="B1" s="66" t="s">
        <v>183</v>
      </c>
      <c r="C1" s="67" t="s">
        <v>184</v>
      </c>
      <c r="D1" s="68" t="s">
        <v>185</v>
      </c>
      <c r="E1" s="69" t="s">
        <v>186</v>
      </c>
      <c r="F1" s="70" t="s">
        <v>187</v>
      </c>
      <c r="G1" s="71" t="s">
        <v>188</v>
      </c>
      <c r="H1" t="s">
        <v>189</v>
      </c>
    </row>
    <row r="2" spans="1:8">
      <c r="A2">
        <v>1</v>
      </c>
      <c r="B2" t="s">
        <v>190</v>
      </c>
      <c r="C2">
        <v>45499</v>
      </c>
      <c r="D2" t="s">
        <v>191</v>
      </c>
      <c r="E2" t="s">
        <v>102</v>
      </c>
      <c r="F2" t="s">
        <v>140</v>
      </c>
      <c r="G2">
        <v>120257.58930999998</v>
      </c>
      <c r="H2">
        <v>1</v>
      </c>
    </row>
    <row r="3" spans="1:8">
      <c r="A3">
        <v>2</v>
      </c>
      <c r="B3" t="s">
        <v>190</v>
      </c>
      <c r="C3">
        <v>44389</v>
      </c>
      <c r="D3" t="s">
        <v>192</v>
      </c>
      <c r="E3" t="s">
        <v>79</v>
      </c>
      <c r="F3" t="s">
        <v>143</v>
      </c>
      <c r="G3">
        <v>66437.82084</v>
      </c>
      <c r="H3">
        <v>2</v>
      </c>
    </row>
    <row r="4" spans="1:8">
      <c r="A4">
        <v>13</v>
      </c>
      <c r="B4" t="s">
        <v>190</v>
      </c>
      <c r="C4" t="s">
        <v>193</v>
      </c>
      <c r="F4" t="s">
        <v>155</v>
      </c>
      <c r="G4">
        <v>40255.422910000001</v>
      </c>
      <c r="H4">
        <v>3</v>
      </c>
    </row>
    <row r="5" spans="1:8">
      <c r="A5">
        <v>23</v>
      </c>
      <c r="B5" t="s">
        <v>190</v>
      </c>
      <c r="C5">
        <v>44820</v>
      </c>
      <c r="D5" t="s">
        <v>194</v>
      </c>
      <c r="E5" t="s">
        <v>104</v>
      </c>
      <c r="F5" t="s">
        <v>163</v>
      </c>
      <c r="G5">
        <v>35865.772640000003</v>
      </c>
      <c r="H5">
        <v>4</v>
      </c>
    </row>
    <row r="6" spans="1:8">
      <c r="A6">
        <v>6</v>
      </c>
      <c r="B6" t="s">
        <v>190</v>
      </c>
      <c r="C6">
        <v>44223</v>
      </c>
      <c r="D6" t="s">
        <v>195</v>
      </c>
      <c r="E6" t="s">
        <v>102</v>
      </c>
      <c r="F6" t="s">
        <v>149</v>
      </c>
      <c r="G6">
        <v>30994.68417</v>
      </c>
      <c r="H6">
        <v>5</v>
      </c>
    </row>
    <row r="7" spans="1:8">
      <c r="A7">
        <v>3</v>
      </c>
      <c r="B7" t="s">
        <v>190</v>
      </c>
      <c r="C7">
        <v>44851</v>
      </c>
      <c r="D7" t="s">
        <v>196</v>
      </c>
      <c r="E7" t="s">
        <v>102</v>
      </c>
      <c r="F7" t="s">
        <v>145</v>
      </c>
      <c r="G7">
        <v>27224.180199999999</v>
      </c>
      <c r="H7">
        <v>6</v>
      </c>
    </row>
    <row r="8" spans="1:8">
      <c r="A8">
        <v>7</v>
      </c>
      <c r="B8" t="s">
        <v>190</v>
      </c>
      <c r="C8">
        <v>45518</v>
      </c>
      <c r="D8" t="s">
        <v>197</v>
      </c>
      <c r="E8" t="s">
        <v>106</v>
      </c>
      <c r="F8" t="s">
        <v>153</v>
      </c>
      <c r="G8">
        <v>21123.134289999998</v>
      </c>
      <c r="H8">
        <v>7</v>
      </c>
    </row>
    <row r="9" spans="1:8">
      <c r="A9">
        <v>12</v>
      </c>
      <c r="B9" t="s">
        <v>190</v>
      </c>
      <c r="C9">
        <v>42674</v>
      </c>
      <c r="D9" t="s">
        <v>198</v>
      </c>
      <c r="E9" t="s">
        <v>106</v>
      </c>
      <c r="F9" t="s">
        <v>158</v>
      </c>
      <c r="G9">
        <v>20159.864589999997</v>
      </c>
      <c r="H9">
        <v>8</v>
      </c>
    </row>
    <row r="10" spans="1:8">
      <c r="A10">
        <v>17</v>
      </c>
      <c r="B10" t="s">
        <v>190</v>
      </c>
      <c r="C10">
        <v>44124</v>
      </c>
      <c r="D10" t="s">
        <v>199</v>
      </c>
      <c r="E10" t="s">
        <v>104</v>
      </c>
      <c r="F10" t="s">
        <v>161</v>
      </c>
      <c r="G10">
        <v>19890.634429999998</v>
      </c>
      <c r="H10">
        <v>9</v>
      </c>
    </row>
    <row r="11" spans="1:8">
      <c r="A11">
        <v>10</v>
      </c>
      <c r="B11" t="s">
        <v>190</v>
      </c>
      <c r="C11">
        <v>42487</v>
      </c>
      <c r="D11" t="s">
        <v>200</v>
      </c>
      <c r="E11" t="s">
        <v>104</v>
      </c>
      <c r="F11" t="s">
        <v>154</v>
      </c>
      <c r="G11">
        <v>17704.788049999999</v>
      </c>
      <c r="H11">
        <v>10</v>
      </c>
    </row>
    <row r="12" spans="1:8">
      <c r="A12">
        <v>115</v>
      </c>
      <c r="B12" t="s">
        <v>190</v>
      </c>
      <c r="C12">
        <v>45606</v>
      </c>
      <c r="D12" t="s">
        <v>199</v>
      </c>
      <c r="E12" t="s">
        <v>104</v>
      </c>
      <c r="F12" t="s">
        <v>124</v>
      </c>
      <c r="G12">
        <v>12697.683369999999</v>
      </c>
      <c r="H12">
        <v>11</v>
      </c>
    </row>
    <row r="13" spans="1:8">
      <c r="A13">
        <v>116</v>
      </c>
      <c r="B13" t="s">
        <v>190</v>
      </c>
      <c r="C13">
        <v>44222</v>
      </c>
      <c r="D13" t="s">
        <v>194</v>
      </c>
      <c r="E13" t="s">
        <v>104</v>
      </c>
      <c r="F13" t="s">
        <v>201</v>
      </c>
      <c r="G13">
        <v>11953.57172</v>
      </c>
      <c r="H13">
        <v>12</v>
      </c>
    </row>
    <row r="14" spans="1:8">
      <c r="A14">
        <v>8</v>
      </c>
      <c r="B14" t="s">
        <v>190</v>
      </c>
      <c r="C14">
        <v>45548</v>
      </c>
      <c r="D14" t="s">
        <v>194</v>
      </c>
      <c r="E14" t="s">
        <v>104</v>
      </c>
      <c r="F14" t="s">
        <v>148</v>
      </c>
      <c r="G14">
        <v>10543.26382</v>
      </c>
      <c r="H14">
        <v>13</v>
      </c>
    </row>
    <row r="15" spans="1:8">
      <c r="A15">
        <v>21</v>
      </c>
      <c r="B15" t="s">
        <v>190</v>
      </c>
      <c r="C15">
        <v>44921</v>
      </c>
      <c r="D15" t="s">
        <v>194</v>
      </c>
      <c r="E15" t="s">
        <v>104</v>
      </c>
      <c r="F15" t="s">
        <v>169</v>
      </c>
      <c r="G15">
        <v>7956.6324800000002</v>
      </c>
      <c r="H15">
        <v>14</v>
      </c>
    </row>
    <row r="16" spans="1:8">
      <c r="A16">
        <v>41</v>
      </c>
      <c r="B16" t="s">
        <v>190</v>
      </c>
      <c r="C16">
        <v>45058</v>
      </c>
      <c r="D16" t="s">
        <v>194</v>
      </c>
      <c r="E16" t="s">
        <v>104</v>
      </c>
      <c r="F16" t="s">
        <v>202</v>
      </c>
      <c r="G16">
        <v>7375.0440000000008</v>
      </c>
      <c r="H16">
        <v>15</v>
      </c>
    </row>
    <row r="17" spans="1:8">
      <c r="A17">
        <v>18</v>
      </c>
      <c r="B17" t="s">
        <v>190</v>
      </c>
      <c r="C17">
        <v>44670</v>
      </c>
      <c r="D17" t="s">
        <v>194</v>
      </c>
      <c r="E17" t="s">
        <v>104</v>
      </c>
      <c r="F17" t="s">
        <v>167</v>
      </c>
      <c r="G17">
        <v>7285.8734800000002</v>
      </c>
      <c r="H17">
        <v>16</v>
      </c>
    </row>
    <row r="18" spans="1:8">
      <c r="A18">
        <v>11</v>
      </c>
      <c r="B18" t="s">
        <v>190</v>
      </c>
      <c r="C18">
        <v>43069</v>
      </c>
      <c r="D18" t="s">
        <v>199</v>
      </c>
      <c r="E18" t="s">
        <v>104</v>
      </c>
      <c r="F18" t="s">
        <v>156</v>
      </c>
      <c r="G18">
        <v>6958.8298100000002</v>
      </c>
      <c r="H18">
        <v>17</v>
      </c>
    </row>
    <row r="19" spans="1:8">
      <c r="A19">
        <v>48</v>
      </c>
      <c r="B19" t="s">
        <v>190</v>
      </c>
      <c r="C19">
        <v>43411</v>
      </c>
      <c r="D19" t="s">
        <v>203</v>
      </c>
      <c r="E19" t="s">
        <v>102</v>
      </c>
      <c r="F19" t="s">
        <v>204</v>
      </c>
      <c r="G19">
        <v>6751.8431799999998</v>
      </c>
      <c r="H19">
        <v>18</v>
      </c>
    </row>
    <row r="20" spans="1:8">
      <c r="A20">
        <v>24</v>
      </c>
      <c r="B20" t="s">
        <v>190</v>
      </c>
      <c r="C20">
        <v>45052</v>
      </c>
      <c r="D20" t="s">
        <v>199</v>
      </c>
      <c r="E20" t="s">
        <v>104</v>
      </c>
      <c r="F20" t="s">
        <v>172</v>
      </c>
      <c r="G20">
        <v>6498.9208600000002</v>
      </c>
      <c r="H20">
        <v>19</v>
      </c>
    </row>
    <row r="21" spans="1:8">
      <c r="A21">
        <v>20</v>
      </c>
      <c r="B21" t="s">
        <v>190</v>
      </c>
      <c r="C21" t="s">
        <v>193</v>
      </c>
      <c r="F21" t="s">
        <v>205</v>
      </c>
      <c r="G21">
        <v>5070.6589899999999</v>
      </c>
      <c r="H21">
        <v>20</v>
      </c>
    </row>
    <row r="22" spans="1:8">
      <c r="A22">
        <v>27</v>
      </c>
      <c r="B22" t="s">
        <v>190</v>
      </c>
      <c r="C22">
        <v>42273</v>
      </c>
      <c r="D22" t="s">
        <v>206</v>
      </c>
      <c r="E22" t="s">
        <v>106</v>
      </c>
      <c r="F22" t="s">
        <v>164</v>
      </c>
      <c r="G22">
        <v>4978.5090700000001</v>
      </c>
      <c r="H22">
        <v>21</v>
      </c>
    </row>
    <row r="23" spans="1:8">
      <c r="A23">
        <v>32</v>
      </c>
      <c r="B23" t="s">
        <v>190</v>
      </c>
      <c r="C23">
        <v>45406</v>
      </c>
      <c r="D23" t="s">
        <v>207</v>
      </c>
      <c r="E23" t="s">
        <v>102</v>
      </c>
      <c r="F23" t="s">
        <v>120</v>
      </c>
      <c r="G23">
        <v>4928.85736</v>
      </c>
      <c r="H23">
        <v>22</v>
      </c>
    </row>
    <row r="24" spans="1:8">
      <c r="A24">
        <v>26</v>
      </c>
      <c r="B24" t="s">
        <v>190</v>
      </c>
      <c r="C24">
        <v>42216</v>
      </c>
      <c r="D24" t="s">
        <v>208</v>
      </c>
      <c r="E24" t="s">
        <v>102</v>
      </c>
      <c r="F24" t="s">
        <v>166</v>
      </c>
      <c r="G24">
        <v>4920.3939</v>
      </c>
      <c r="H24">
        <v>23</v>
      </c>
    </row>
    <row r="25" spans="1:8">
      <c r="A25">
        <v>29</v>
      </c>
      <c r="B25" t="s">
        <v>190</v>
      </c>
      <c r="C25">
        <v>45110</v>
      </c>
      <c r="D25" t="s">
        <v>209</v>
      </c>
      <c r="E25" t="s">
        <v>102</v>
      </c>
      <c r="F25" t="s">
        <v>173</v>
      </c>
      <c r="G25">
        <v>4261.2458299999998</v>
      </c>
      <c r="H25">
        <v>24</v>
      </c>
    </row>
    <row r="26" spans="1:8">
      <c r="A26">
        <v>50</v>
      </c>
      <c r="B26" t="s">
        <v>190</v>
      </c>
      <c r="C26">
        <v>41647</v>
      </c>
      <c r="D26" t="s">
        <v>210</v>
      </c>
      <c r="E26" t="s">
        <v>106</v>
      </c>
      <c r="F26" t="s">
        <v>211</v>
      </c>
      <c r="G26">
        <v>4007.3237900000004</v>
      </c>
      <c r="H26">
        <v>25</v>
      </c>
    </row>
    <row r="27" spans="1:8">
      <c r="A27">
        <v>47</v>
      </c>
      <c r="B27" t="s">
        <v>190</v>
      </c>
      <c r="C27">
        <v>44166</v>
      </c>
      <c r="D27" t="s">
        <v>212</v>
      </c>
      <c r="E27" t="s">
        <v>102</v>
      </c>
      <c r="F27" t="s">
        <v>213</v>
      </c>
      <c r="G27">
        <v>3911.1281300000001</v>
      </c>
      <c r="H27">
        <v>26</v>
      </c>
    </row>
    <row r="28" spans="1:8">
      <c r="A28">
        <v>117</v>
      </c>
      <c r="B28" t="s">
        <v>190</v>
      </c>
      <c r="C28">
        <v>44469</v>
      </c>
      <c r="D28" t="s">
        <v>214</v>
      </c>
      <c r="E28" t="s">
        <v>102</v>
      </c>
      <c r="F28" t="s">
        <v>215</v>
      </c>
      <c r="G28">
        <v>3807.4984100000001</v>
      </c>
      <c r="H28">
        <v>27</v>
      </c>
    </row>
    <row r="29" spans="1:8">
      <c r="A29">
        <v>16</v>
      </c>
      <c r="B29" t="s">
        <v>190</v>
      </c>
      <c r="C29">
        <v>45831</v>
      </c>
      <c r="D29" t="s">
        <v>216</v>
      </c>
      <c r="E29" t="s">
        <v>102</v>
      </c>
      <c r="F29" t="s">
        <v>160</v>
      </c>
      <c r="G29">
        <v>3361.9688200000001</v>
      </c>
      <c r="H29">
        <v>28</v>
      </c>
    </row>
    <row r="30" spans="1:8">
      <c r="A30">
        <v>53</v>
      </c>
      <c r="B30" t="s">
        <v>190</v>
      </c>
      <c r="C30">
        <v>43930</v>
      </c>
      <c r="D30" t="s">
        <v>217</v>
      </c>
      <c r="E30" t="s">
        <v>106</v>
      </c>
      <c r="F30" t="s">
        <v>218</v>
      </c>
      <c r="G30">
        <v>3227.6097799999998</v>
      </c>
      <c r="H30">
        <v>29</v>
      </c>
    </row>
    <row r="31" spans="1:8">
      <c r="A31">
        <v>40</v>
      </c>
      <c r="B31" t="s">
        <v>190</v>
      </c>
      <c r="C31">
        <v>45898</v>
      </c>
      <c r="D31" t="s">
        <v>194</v>
      </c>
      <c r="E31" t="s">
        <v>104</v>
      </c>
      <c r="F31" t="s">
        <v>121</v>
      </c>
      <c r="G31">
        <v>3053.55078</v>
      </c>
      <c r="H31">
        <v>30</v>
      </c>
    </row>
    <row r="32" spans="1:8">
      <c r="A32">
        <v>25</v>
      </c>
      <c r="B32" t="s">
        <v>190</v>
      </c>
      <c r="C32">
        <v>45416</v>
      </c>
      <c r="D32" t="s">
        <v>219</v>
      </c>
      <c r="E32" t="s">
        <v>106</v>
      </c>
      <c r="F32" t="s">
        <v>170</v>
      </c>
      <c r="G32">
        <v>2861.72741</v>
      </c>
      <c r="H32">
        <v>31</v>
      </c>
    </row>
    <row r="33" spans="1:8">
      <c r="A33">
        <v>69</v>
      </c>
      <c r="B33" t="s">
        <v>190</v>
      </c>
      <c r="C33">
        <v>43936</v>
      </c>
      <c r="D33" t="s">
        <v>220</v>
      </c>
      <c r="E33" t="s">
        <v>102</v>
      </c>
      <c r="F33" t="s">
        <v>221</v>
      </c>
      <c r="G33">
        <v>2727.0585799999999</v>
      </c>
      <c r="H33">
        <v>32</v>
      </c>
    </row>
    <row r="34" spans="1:8">
      <c r="A34">
        <v>37</v>
      </c>
      <c r="B34" t="s">
        <v>190</v>
      </c>
      <c r="C34">
        <v>41632</v>
      </c>
      <c r="D34" t="s">
        <v>222</v>
      </c>
      <c r="E34" t="s">
        <v>106</v>
      </c>
      <c r="F34" t="s">
        <v>223</v>
      </c>
      <c r="G34">
        <v>2639.2667099999999</v>
      </c>
      <c r="H34">
        <v>33</v>
      </c>
    </row>
    <row r="35" spans="1:8">
      <c r="A35">
        <v>39</v>
      </c>
      <c r="B35" t="s">
        <v>190</v>
      </c>
      <c r="C35">
        <v>44133</v>
      </c>
      <c r="D35" t="s">
        <v>224</v>
      </c>
      <c r="E35" t="s">
        <v>102</v>
      </c>
      <c r="F35" t="s">
        <v>225</v>
      </c>
      <c r="G35">
        <v>2634.5864399999996</v>
      </c>
      <c r="H35">
        <v>34</v>
      </c>
    </row>
    <row r="36" spans="1:8">
      <c r="A36">
        <v>73</v>
      </c>
      <c r="B36" t="s">
        <v>190</v>
      </c>
      <c r="C36">
        <v>41655</v>
      </c>
      <c r="D36" t="s">
        <v>226</v>
      </c>
      <c r="E36" t="s">
        <v>106</v>
      </c>
      <c r="F36" t="s">
        <v>227</v>
      </c>
      <c r="G36">
        <v>2564.0668500000002</v>
      </c>
      <c r="H36">
        <v>35</v>
      </c>
    </row>
    <row r="37" spans="1:8">
      <c r="A37">
        <v>44</v>
      </c>
      <c r="B37" t="s">
        <v>190</v>
      </c>
      <c r="C37">
        <v>45535</v>
      </c>
      <c r="D37" t="s">
        <v>228</v>
      </c>
      <c r="E37" t="s">
        <v>102</v>
      </c>
      <c r="F37" t="s">
        <v>229</v>
      </c>
      <c r="G37">
        <v>2536.0050899999997</v>
      </c>
      <c r="H37">
        <v>36</v>
      </c>
    </row>
    <row r="38" spans="1:8">
      <c r="A38">
        <v>118</v>
      </c>
      <c r="B38" t="s">
        <v>190</v>
      </c>
      <c r="C38">
        <v>45722</v>
      </c>
      <c r="D38" t="s">
        <v>230</v>
      </c>
      <c r="E38" t="s">
        <v>102</v>
      </c>
      <c r="F38" t="s">
        <v>231</v>
      </c>
      <c r="G38">
        <v>2325.3246199999999</v>
      </c>
      <c r="H38">
        <v>37</v>
      </c>
    </row>
    <row r="39" spans="1:8">
      <c r="A39">
        <v>45</v>
      </c>
      <c r="B39" t="s">
        <v>190</v>
      </c>
      <c r="C39">
        <v>43131</v>
      </c>
      <c r="D39" t="s">
        <v>232</v>
      </c>
      <c r="E39" t="s">
        <v>102</v>
      </c>
      <c r="F39" t="s">
        <v>233</v>
      </c>
      <c r="G39">
        <v>2268.8206700000001</v>
      </c>
      <c r="H39">
        <v>38</v>
      </c>
    </row>
    <row r="40" spans="1:8">
      <c r="A40">
        <v>119</v>
      </c>
      <c r="B40" t="s">
        <v>190</v>
      </c>
      <c r="C40">
        <v>45777</v>
      </c>
      <c r="D40" t="s">
        <v>194</v>
      </c>
      <c r="E40" t="s">
        <v>104</v>
      </c>
      <c r="F40" t="s">
        <v>234</v>
      </c>
      <c r="G40">
        <v>2244.3761100000002</v>
      </c>
      <c r="H40">
        <v>39</v>
      </c>
    </row>
    <row r="41" spans="1:8">
      <c r="A41">
        <v>58</v>
      </c>
      <c r="B41" t="s">
        <v>190</v>
      </c>
      <c r="C41">
        <v>45037</v>
      </c>
      <c r="D41" t="s">
        <v>235</v>
      </c>
      <c r="E41" t="s">
        <v>102</v>
      </c>
      <c r="F41" t="s">
        <v>236</v>
      </c>
      <c r="G41">
        <v>2218.8160600000001</v>
      </c>
      <c r="H41">
        <v>40</v>
      </c>
    </row>
    <row r="42" spans="1:8">
      <c r="A42">
        <v>43</v>
      </c>
      <c r="B42" t="s">
        <v>190</v>
      </c>
      <c r="C42">
        <v>45412</v>
      </c>
      <c r="D42" t="s">
        <v>199</v>
      </c>
      <c r="E42" t="s">
        <v>104</v>
      </c>
      <c r="F42" t="s">
        <v>237</v>
      </c>
      <c r="G42">
        <v>2121.7959600000004</v>
      </c>
      <c r="H42">
        <v>41</v>
      </c>
    </row>
    <row r="43" spans="1:8">
      <c r="A43">
        <v>35</v>
      </c>
      <c r="B43" t="s">
        <v>190</v>
      </c>
      <c r="C43">
        <v>44489</v>
      </c>
      <c r="D43" t="s">
        <v>199</v>
      </c>
      <c r="E43" t="s">
        <v>102</v>
      </c>
      <c r="F43" t="s">
        <v>176</v>
      </c>
      <c r="G43">
        <v>2064.7892000000002</v>
      </c>
      <c r="H43">
        <v>42</v>
      </c>
    </row>
    <row r="44" spans="1:8">
      <c r="A44">
        <v>103</v>
      </c>
      <c r="B44" t="s">
        <v>190</v>
      </c>
      <c r="C44">
        <v>45691</v>
      </c>
      <c r="D44" t="s">
        <v>194</v>
      </c>
      <c r="E44" t="s">
        <v>104</v>
      </c>
      <c r="F44" t="s">
        <v>238</v>
      </c>
      <c r="G44">
        <v>2038.97361</v>
      </c>
      <c r="H44">
        <v>43</v>
      </c>
    </row>
    <row r="45" spans="1:8">
      <c r="A45">
        <v>54</v>
      </c>
      <c r="B45" t="s">
        <v>190</v>
      </c>
      <c r="C45">
        <v>43676</v>
      </c>
      <c r="D45" t="s">
        <v>239</v>
      </c>
      <c r="E45" t="s">
        <v>102</v>
      </c>
      <c r="F45" t="s">
        <v>240</v>
      </c>
      <c r="G45">
        <v>1969.0245199999999</v>
      </c>
      <c r="H45">
        <v>44</v>
      </c>
    </row>
    <row r="46" spans="1:8">
      <c r="A46">
        <v>120</v>
      </c>
      <c r="B46" t="s">
        <v>190</v>
      </c>
      <c r="C46">
        <v>44859</v>
      </c>
      <c r="D46" t="s">
        <v>241</v>
      </c>
      <c r="E46" t="s">
        <v>102</v>
      </c>
      <c r="F46" t="s">
        <v>242</v>
      </c>
      <c r="G46">
        <v>1934.7644700000001</v>
      </c>
      <c r="H46">
        <v>45</v>
      </c>
    </row>
    <row r="47" spans="1:8">
      <c r="A47">
        <v>49</v>
      </c>
      <c r="B47" t="s">
        <v>190</v>
      </c>
      <c r="C47">
        <v>41620</v>
      </c>
      <c r="D47" t="s">
        <v>243</v>
      </c>
      <c r="E47" t="s">
        <v>106</v>
      </c>
      <c r="F47" t="s">
        <v>244</v>
      </c>
      <c r="G47">
        <v>1840.5398299999999</v>
      </c>
      <c r="H47">
        <v>46</v>
      </c>
    </row>
    <row r="48" spans="1:8">
      <c r="A48">
        <v>66</v>
      </c>
      <c r="B48" t="s">
        <v>190</v>
      </c>
      <c r="C48">
        <v>44931</v>
      </c>
      <c r="D48" t="s">
        <v>245</v>
      </c>
      <c r="E48" t="s">
        <v>102</v>
      </c>
      <c r="F48" t="s">
        <v>246</v>
      </c>
      <c r="G48">
        <v>1816.5911900000001</v>
      </c>
      <c r="H48">
        <v>47</v>
      </c>
    </row>
    <row r="49" spans="1:8">
      <c r="A49">
        <v>56</v>
      </c>
      <c r="B49" t="s">
        <v>190</v>
      </c>
      <c r="C49">
        <v>45135</v>
      </c>
      <c r="D49" t="s">
        <v>194</v>
      </c>
      <c r="E49" t="s">
        <v>104</v>
      </c>
      <c r="F49" t="s">
        <v>247</v>
      </c>
      <c r="G49">
        <v>1711.5756700000002</v>
      </c>
      <c r="H49">
        <v>48</v>
      </c>
    </row>
    <row r="50" spans="1:8">
      <c r="A50">
        <v>63</v>
      </c>
      <c r="B50" t="s">
        <v>190</v>
      </c>
      <c r="C50">
        <v>43430</v>
      </c>
      <c r="D50" t="s">
        <v>217</v>
      </c>
      <c r="E50" t="s">
        <v>106</v>
      </c>
      <c r="F50" t="s">
        <v>248</v>
      </c>
      <c r="G50">
        <v>1673.61437</v>
      </c>
      <c r="H50">
        <v>49</v>
      </c>
    </row>
    <row r="51" spans="1:8">
      <c r="A51">
        <v>121</v>
      </c>
      <c r="B51" t="s">
        <v>190</v>
      </c>
      <c r="C51">
        <v>45071</v>
      </c>
      <c r="D51" t="s">
        <v>249</v>
      </c>
      <c r="E51" t="s">
        <v>102</v>
      </c>
      <c r="F51" t="s">
        <v>250</v>
      </c>
      <c r="G51">
        <v>1538.5492899999999</v>
      </c>
      <c r="H51">
        <v>50</v>
      </c>
    </row>
    <row r="52" spans="1:8">
      <c r="A52">
        <v>59</v>
      </c>
      <c r="B52" t="s">
        <v>190</v>
      </c>
      <c r="C52">
        <v>44200</v>
      </c>
      <c r="D52" t="s">
        <v>194</v>
      </c>
      <c r="E52" t="s">
        <v>102</v>
      </c>
      <c r="F52" t="s">
        <v>251</v>
      </c>
      <c r="G52">
        <v>1538.3086899999998</v>
      </c>
      <c r="H52">
        <v>51</v>
      </c>
    </row>
    <row r="53" spans="1:8">
      <c r="A53">
        <v>122</v>
      </c>
      <c r="B53" t="s">
        <v>190</v>
      </c>
      <c r="C53">
        <v>45827</v>
      </c>
      <c r="D53" t="s">
        <v>199</v>
      </c>
      <c r="E53" t="s">
        <v>104</v>
      </c>
      <c r="F53" t="s">
        <v>126</v>
      </c>
      <c r="G53">
        <v>1534.2543700000001</v>
      </c>
      <c r="H53">
        <v>52</v>
      </c>
    </row>
    <row r="54" spans="1:8">
      <c r="A54">
        <v>82</v>
      </c>
      <c r="B54" t="s">
        <v>190</v>
      </c>
      <c r="C54">
        <v>43699</v>
      </c>
      <c r="D54" t="s">
        <v>252</v>
      </c>
      <c r="E54" t="s">
        <v>102</v>
      </c>
      <c r="F54" t="s">
        <v>253</v>
      </c>
      <c r="G54">
        <v>1500.1548299999999</v>
      </c>
      <c r="H54">
        <v>53</v>
      </c>
    </row>
    <row r="55" spans="1:8">
      <c r="A55">
        <v>72</v>
      </c>
      <c r="B55" t="s">
        <v>190</v>
      </c>
      <c r="C55">
        <v>44453</v>
      </c>
      <c r="D55" t="s">
        <v>254</v>
      </c>
      <c r="E55" t="s">
        <v>102</v>
      </c>
      <c r="F55" t="s">
        <v>255</v>
      </c>
      <c r="G55">
        <v>1473.23341</v>
      </c>
      <c r="H55">
        <v>54</v>
      </c>
    </row>
    <row r="56" spans="1:8">
      <c r="A56">
        <v>74</v>
      </c>
      <c r="B56" t="s">
        <v>190</v>
      </c>
      <c r="C56">
        <v>44771</v>
      </c>
      <c r="D56" t="s">
        <v>199</v>
      </c>
      <c r="E56" t="s">
        <v>104</v>
      </c>
      <c r="F56" t="s">
        <v>256</v>
      </c>
      <c r="G56">
        <v>1450.3062799999998</v>
      </c>
      <c r="H56">
        <v>55</v>
      </c>
    </row>
    <row r="57" spans="1:8">
      <c r="A57">
        <v>123</v>
      </c>
      <c r="B57" t="s">
        <v>190</v>
      </c>
      <c r="C57">
        <v>45369</v>
      </c>
      <c r="D57" t="s">
        <v>257</v>
      </c>
      <c r="E57" t="s">
        <v>102</v>
      </c>
      <c r="F57" t="s">
        <v>258</v>
      </c>
      <c r="G57">
        <v>1253.2423899999999</v>
      </c>
      <c r="H57">
        <v>56</v>
      </c>
    </row>
    <row r="58" spans="1:8">
      <c r="A58">
        <v>124</v>
      </c>
      <c r="B58" t="s">
        <v>190</v>
      </c>
      <c r="C58">
        <v>45220</v>
      </c>
      <c r="D58" t="s">
        <v>207</v>
      </c>
      <c r="E58" t="s">
        <v>102</v>
      </c>
      <c r="F58" t="s">
        <v>259</v>
      </c>
      <c r="G58">
        <v>1247.2663699999998</v>
      </c>
      <c r="H58">
        <v>57</v>
      </c>
    </row>
    <row r="59" spans="1:8">
      <c r="A59">
        <v>52</v>
      </c>
      <c r="B59" t="s">
        <v>190</v>
      </c>
      <c r="C59">
        <v>43763</v>
      </c>
      <c r="D59" t="s">
        <v>260</v>
      </c>
      <c r="E59" t="s">
        <v>102</v>
      </c>
      <c r="F59" t="s">
        <v>261</v>
      </c>
      <c r="G59">
        <v>1166.3483000000001</v>
      </c>
      <c r="H59">
        <v>58</v>
      </c>
    </row>
    <row r="60" spans="1:8">
      <c r="A60">
        <v>78</v>
      </c>
      <c r="B60" t="s">
        <v>190</v>
      </c>
      <c r="C60">
        <v>45544</v>
      </c>
      <c r="D60" t="s">
        <v>262</v>
      </c>
      <c r="E60" t="s">
        <v>102</v>
      </c>
      <c r="F60" t="s">
        <v>263</v>
      </c>
      <c r="G60">
        <v>1120.15173</v>
      </c>
      <c r="H60">
        <v>59</v>
      </c>
    </row>
    <row r="61" spans="1:8">
      <c r="A61">
        <v>42</v>
      </c>
      <c r="B61" t="s">
        <v>190</v>
      </c>
      <c r="C61">
        <v>41614</v>
      </c>
      <c r="D61" t="s">
        <v>264</v>
      </c>
      <c r="E61" t="s">
        <v>106</v>
      </c>
      <c r="F61" t="s">
        <v>265</v>
      </c>
      <c r="G61">
        <v>1047.1159299999999</v>
      </c>
      <c r="H61">
        <v>60</v>
      </c>
    </row>
    <row r="62" spans="1:8">
      <c r="A62">
        <v>87</v>
      </c>
      <c r="B62" t="s">
        <v>190</v>
      </c>
      <c r="C62">
        <v>43995</v>
      </c>
      <c r="D62" t="s">
        <v>266</v>
      </c>
      <c r="E62" t="s">
        <v>104</v>
      </c>
      <c r="F62" t="s">
        <v>267</v>
      </c>
      <c r="G62">
        <v>1023.2946900000001</v>
      </c>
      <c r="H62">
        <v>61</v>
      </c>
    </row>
    <row r="63" spans="1:8">
      <c r="A63">
        <v>4</v>
      </c>
      <c r="B63" t="s">
        <v>190</v>
      </c>
      <c r="C63">
        <v>45398</v>
      </c>
      <c r="D63" t="s">
        <v>268</v>
      </c>
      <c r="E63" t="s">
        <v>102</v>
      </c>
      <c r="F63" t="s">
        <v>147</v>
      </c>
      <c r="G63">
        <v>989.37990000000002</v>
      </c>
      <c r="H63">
        <v>62</v>
      </c>
    </row>
    <row r="64" spans="1:8">
      <c r="A64">
        <v>81</v>
      </c>
      <c r="B64" t="s">
        <v>190</v>
      </c>
      <c r="C64">
        <v>44037</v>
      </c>
      <c r="D64" t="s">
        <v>269</v>
      </c>
      <c r="E64" t="s">
        <v>102</v>
      </c>
      <c r="F64" t="s">
        <v>270</v>
      </c>
      <c r="G64">
        <v>956.02006999999992</v>
      </c>
      <c r="H64">
        <v>63</v>
      </c>
    </row>
    <row r="65" spans="1:8">
      <c r="A65">
        <v>71</v>
      </c>
      <c r="B65" t="s">
        <v>190</v>
      </c>
      <c r="C65">
        <v>44173</v>
      </c>
      <c r="D65" t="s">
        <v>264</v>
      </c>
      <c r="E65" t="s">
        <v>106</v>
      </c>
      <c r="F65" t="s">
        <v>271</v>
      </c>
      <c r="G65">
        <v>903.43158999999991</v>
      </c>
      <c r="H65">
        <v>64</v>
      </c>
    </row>
    <row r="66" spans="1:8">
      <c r="A66">
        <v>387</v>
      </c>
      <c r="B66" t="s">
        <v>190</v>
      </c>
      <c r="C66">
        <v>45618</v>
      </c>
      <c r="D66" t="s">
        <v>207</v>
      </c>
      <c r="E66" t="s">
        <v>102</v>
      </c>
      <c r="F66" t="s">
        <v>272</v>
      </c>
      <c r="G66">
        <v>897.8742299999999</v>
      </c>
      <c r="H66">
        <v>65</v>
      </c>
    </row>
    <row r="67" spans="1:8">
      <c r="A67">
        <v>106</v>
      </c>
      <c r="B67" t="s">
        <v>190</v>
      </c>
      <c r="C67">
        <v>44695</v>
      </c>
      <c r="D67" t="s">
        <v>199</v>
      </c>
      <c r="E67" t="s">
        <v>104</v>
      </c>
      <c r="F67" t="s">
        <v>273</v>
      </c>
      <c r="G67">
        <v>866.48018999999999</v>
      </c>
      <c r="H67">
        <v>66</v>
      </c>
    </row>
    <row r="68" spans="1:8">
      <c r="A68">
        <v>28</v>
      </c>
      <c r="B68" t="s">
        <v>190</v>
      </c>
      <c r="C68">
        <v>45891</v>
      </c>
      <c r="D68" t="s">
        <v>274</v>
      </c>
      <c r="E68" t="s">
        <v>102</v>
      </c>
      <c r="F68" t="s">
        <v>275</v>
      </c>
      <c r="G68">
        <v>842.70515999999998</v>
      </c>
      <c r="H68">
        <v>67</v>
      </c>
    </row>
    <row r="69" spans="1:8">
      <c r="A69">
        <v>125</v>
      </c>
      <c r="B69" t="s">
        <v>190</v>
      </c>
      <c r="C69">
        <v>45131</v>
      </c>
      <c r="D69" t="s">
        <v>276</v>
      </c>
      <c r="E69" t="s">
        <v>106</v>
      </c>
      <c r="F69" t="s">
        <v>277</v>
      </c>
      <c r="G69">
        <v>824.78523000000007</v>
      </c>
      <c r="H69">
        <v>68</v>
      </c>
    </row>
    <row r="70" spans="1:8">
      <c r="A70">
        <v>65</v>
      </c>
      <c r="B70" t="s">
        <v>190</v>
      </c>
      <c r="C70">
        <v>43832</v>
      </c>
      <c r="D70" t="s">
        <v>199</v>
      </c>
      <c r="E70" t="s">
        <v>104</v>
      </c>
      <c r="F70" t="s">
        <v>278</v>
      </c>
      <c r="G70">
        <v>811.55505000000005</v>
      </c>
      <c r="H70">
        <v>69</v>
      </c>
    </row>
    <row r="71" spans="1:8">
      <c r="A71">
        <v>33</v>
      </c>
      <c r="B71" t="s">
        <v>190</v>
      </c>
      <c r="C71">
        <v>44358</v>
      </c>
      <c r="D71" t="s">
        <v>194</v>
      </c>
      <c r="E71" t="s">
        <v>104</v>
      </c>
      <c r="F71" t="s">
        <v>175</v>
      </c>
      <c r="G71">
        <v>798.42353000000003</v>
      </c>
      <c r="H71">
        <v>70</v>
      </c>
    </row>
    <row r="72" spans="1:8">
      <c r="A72">
        <v>126</v>
      </c>
      <c r="B72" t="s">
        <v>190</v>
      </c>
      <c r="C72">
        <v>45961</v>
      </c>
      <c r="D72" t="s">
        <v>279</v>
      </c>
      <c r="E72" t="s">
        <v>106</v>
      </c>
      <c r="F72" t="s">
        <v>280</v>
      </c>
      <c r="G72">
        <v>765.10640999999998</v>
      </c>
      <c r="H72">
        <v>71</v>
      </c>
    </row>
    <row r="73" spans="1:8">
      <c r="A73">
        <v>84</v>
      </c>
      <c r="B73" t="s">
        <v>190</v>
      </c>
      <c r="C73">
        <v>45191</v>
      </c>
      <c r="D73" t="s">
        <v>281</v>
      </c>
      <c r="E73" t="s">
        <v>102</v>
      </c>
      <c r="F73" t="s">
        <v>282</v>
      </c>
      <c r="G73">
        <v>751.80819000000008</v>
      </c>
      <c r="H73">
        <v>72</v>
      </c>
    </row>
    <row r="74" spans="1:8">
      <c r="A74">
        <v>127</v>
      </c>
      <c r="B74" t="s">
        <v>190</v>
      </c>
      <c r="C74">
        <v>45396</v>
      </c>
      <c r="D74" t="s">
        <v>283</v>
      </c>
      <c r="E74" t="s">
        <v>102</v>
      </c>
      <c r="F74" t="s">
        <v>284</v>
      </c>
      <c r="G74">
        <v>709.16597000000002</v>
      </c>
      <c r="H74">
        <v>73</v>
      </c>
    </row>
    <row r="75" spans="1:8">
      <c r="A75">
        <v>128</v>
      </c>
      <c r="B75" t="s">
        <v>190</v>
      </c>
      <c r="C75">
        <v>45695</v>
      </c>
      <c r="D75" t="s">
        <v>285</v>
      </c>
      <c r="E75" t="s">
        <v>102</v>
      </c>
      <c r="F75" t="s">
        <v>286</v>
      </c>
      <c r="G75">
        <v>700.54520000000002</v>
      </c>
      <c r="H75">
        <v>74</v>
      </c>
    </row>
    <row r="76" spans="1:8">
      <c r="A76">
        <v>129</v>
      </c>
      <c r="B76" t="s">
        <v>190</v>
      </c>
      <c r="C76">
        <v>45289</v>
      </c>
      <c r="D76" t="s">
        <v>199</v>
      </c>
      <c r="E76" t="s">
        <v>102</v>
      </c>
      <c r="F76" t="s">
        <v>287</v>
      </c>
      <c r="G76">
        <v>651.59802999999999</v>
      </c>
      <c r="H76">
        <v>75</v>
      </c>
    </row>
    <row r="77" spans="1:8">
      <c r="A77">
        <v>130</v>
      </c>
      <c r="B77" t="s">
        <v>190</v>
      </c>
      <c r="C77">
        <v>45276</v>
      </c>
      <c r="D77" t="s">
        <v>207</v>
      </c>
      <c r="E77" t="s">
        <v>102</v>
      </c>
      <c r="F77" t="s">
        <v>288</v>
      </c>
      <c r="G77">
        <v>643.83402000000001</v>
      </c>
      <c r="H77">
        <v>76</v>
      </c>
    </row>
    <row r="78" spans="1:8">
      <c r="A78">
        <v>61</v>
      </c>
      <c r="B78" t="s">
        <v>289</v>
      </c>
      <c r="C78">
        <v>46029</v>
      </c>
      <c r="D78" t="s">
        <v>79</v>
      </c>
      <c r="E78" t="s">
        <v>79</v>
      </c>
      <c r="F78" t="s">
        <v>290</v>
      </c>
      <c r="G78">
        <v>635.55847999999992</v>
      </c>
      <c r="H78">
        <v>77</v>
      </c>
    </row>
    <row r="79" spans="1:8">
      <c r="A79">
        <v>93</v>
      </c>
      <c r="B79" t="s">
        <v>190</v>
      </c>
      <c r="C79">
        <v>42636</v>
      </c>
      <c r="D79" t="s">
        <v>207</v>
      </c>
      <c r="E79" t="s">
        <v>102</v>
      </c>
      <c r="F79" t="s">
        <v>291</v>
      </c>
      <c r="G79">
        <v>624.33745999999996</v>
      </c>
      <c r="H79">
        <v>78</v>
      </c>
    </row>
    <row r="80" spans="1:8">
      <c r="A80">
        <v>70</v>
      </c>
      <c r="B80" t="s">
        <v>190</v>
      </c>
      <c r="C80">
        <v>45084</v>
      </c>
      <c r="D80" t="s">
        <v>292</v>
      </c>
      <c r="E80" t="s">
        <v>106</v>
      </c>
      <c r="F80" t="s">
        <v>293</v>
      </c>
      <c r="G80">
        <v>615.81789000000003</v>
      </c>
      <c r="H80">
        <v>79</v>
      </c>
    </row>
    <row r="81" spans="1:8">
      <c r="A81">
        <v>131</v>
      </c>
      <c r="B81" t="s">
        <v>190</v>
      </c>
      <c r="C81">
        <v>45930</v>
      </c>
      <c r="D81" t="s">
        <v>207</v>
      </c>
      <c r="E81" t="s">
        <v>102</v>
      </c>
      <c r="F81" t="s">
        <v>294</v>
      </c>
      <c r="G81">
        <v>610.36684000000002</v>
      </c>
      <c r="H81">
        <v>80</v>
      </c>
    </row>
    <row r="82" spans="1:8">
      <c r="A82">
        <v>132</v>
      </c>
      <c r="B82" t="s">
        <v>190</v>
      </c>
      <c r="C82">
        <v>44938</v>
      </c>
      <c r="D82" t="s">
        <v>194</v>
      </c>
      <c r="E82" t="s">
        <v>102</v>
      </c>
      <c r="F82" t="s">
        <v>295</v>
      </c>
      <c r="G82">
        <v>601.41018999999994</v>
      </c>
      <c r="H82">
        <v>81</v>
      </c>
    </row>
    <row r="83" spans="1:8">
      <c r="A83">
        <v>133</v>
      </c>
      <c r="B83" t="s">
        <v>190</v>
      </c>
      <c r="C83">
        <v>43482</v>
      </c>
      <c r="D83" t="s">
        <v>207</v>
      </c>
      <c r="E83" t="s">
        <v>102</v>
      </c>
      <c r="F83" t="s">
        <v>296</v>
      </c>
      <c r="G83">
        <v>570.35752000000002</v>
      </c>
      <c r="H83">
        <v>82</v>
      </c>
    </row>
    <row r="84" spans="1:8">
      <c r="A84">
        <v>68</v>
      </c>
      <c r="B84" t="s">
        <v>190</v>
      </c>
      <c r="C84">
        <v>43547</v>
      </c>
      <c r="D84" t="s">
        <v>297</v>
      </c>
      <c r="E84" t="s">
        <v>102</v>
      </c>
      <c r="F84" t="s">
        <v>298</v>
      </c>
      <c r="G84">
        <v>567.21243000000004</v>
      </c>
      <c r="H84">
        <v>83</v>
      </c>
    </row>
    <row r="85" spans="1:8">
      <c r="A85">
        <v>105</v>
      </c>
      <c r="B85" t="s">
        <v>190</v>
      </c>
      <c r="C85">
        <v>44790</v>
      </c>
      <c r="D85" t="s">
        <v>254</v>
      </c>
      <c r="E85" t="s">
        <v>102</v>
      </c>
      <c r="F85" t="s">
        <v>299</v>
      </c>
      <c r="G85">
        <v>554.60991000000001</v>
      </c>
      <c r="H85">
        <v>84</v>
      </c>
    </row>
    <row r="86" spans="1:8">
      <c r="A86">
        <v>98</v>
      </c>
      <c r="B86" t="s">
        <v>190</v>
      </c>
      <c r="C86">
        <v>43773</v>
      </c>
      <c r="D86" t="s">
        <v>300</v>
      </c>
      <c r="E86" t="s">
        <v>102</v>
      </c>
      <c r="F86" t="s">
        <v>301</v>
      </c>
      <c r="G86">
        <v>547.42885000000001</v>
      </c>
      <c r="H86">
        <v>85</v>
      </c>
    </row>
    <row r="87" spans="1:8">
      <c r="A87">
        <v>36</v>
      </c>
      <c r="B87" t="s">
        <v>190</v>
      </c>
      <c r="C87">
        <v>45684</v>
      </c>
      <c r="D87" t="s">
        <v>283</v>
      </c>
      <c r="E87" t="s">
        <v>102</v>
      </c>
      <c r="F87" t="s">
        <v>122</v>
      </c>
      <c r="G87">
        <v>546.73590999999999</v>
      </c>
      <c r="H87">
        <v>86</v>
      </c>
    </row>
    <row r="88" spans="1:8">
      <c r="A88">
        <v>134</v>
      </c>
      <c r="B88" t="s">
        <v>190</v>
      </c>
      <c r="C88">
        <v>45531</v>
      </c>
      <c r="D88" t="s">
        <v>302</v>
      </c>
      <c r="E88" t="s">
        <v>102</v>
      </c>
      <c r="F88" t="s">
        <v>303</v>
      </c>
      <c r="G88">
        <v>546.60633000000007</v>
      </c>
      <c r="H88">
        <v>87</v>
      </c>
    </row>
    <row r="89" spans="1:8">
      <c r="A89">
        <v>135</v>
      </c>
      <c r="B89" t="s">
        <v>190</v>
      </c>
      <c r="C89">
        <v>45654</v>
      </c>
      <c r="D89" t="s">
        <v>304</v>
      </c>
      <c r="E89" t="s">
        <v>102</v>
      </c>
      <c r="F89" t="s">
        <v>305</v>
      </c>
      <c r="G89">
        <v>535.95011</v>
      </c>
      <c r="H89">
        <v>88</v>
      </c>
    </row>
    <row r="90" spans="1:8">
      <c r="A90">
        <v>83</v>
      </c>
      <c r="B90" t="s">
        <v>190</v>
      </c>
      <c r="C90">
        <v>44742</v>
      </c>
      <c r="D90" t="s">
        <v>207</v>
      </c>
      <c r="E90" t="s">
        <v>102</v>
      </c>
      <c r="F90" t="s">
        <v>306</v>
      </c>
      <c r="G90">
        <v>531.73197000000005</v>
      </c>
      <c r="H90">
        <v>89</v>
      </c>
    </row>
    <row r="91" spans="1:8">
      <c r="A91">
        <v>136</v>
      </c>
      <c r="B91" t="s">
        <v>190</v>
      </c>
      <c r="C91">
        <v>45694</v>
      </c>
      <c r="D91" t="s">
        <v>194</v>
      </c>
      <c r="E91" t="s">
        <v>104</v>
      </c>
      <c r="F91" t="s">
        <v>307</v>
      </c>
      <c r="G91">
        <v>522.20843000000002</v>
      </c>
      <c r="H91">
        <v>90</v>
      </c>
    </row>
    <row r="92" spans="1:8">
      <c r="A92">
        <v>46</v>
      </c>
      <c r="B92" t="s">
        <v>190</v>
      </c>
      <c r="C92">
        <v>44342</v>
      </c>
      <c r="D92" t="s">
        <v>206</v>
      </c>
      <c r="E92" t="s">
        <v>106</v>
      </c>
      <c r="F92" t="s">
        <v>178</v>
      </c>
      <c r="G92">
        <v>512.79758000000004</v>
      </c>
      <c r="H92">
        <v>91</v>
      </c>
    </row>
    <row r="93" spans="1:8">
      <c r="A93">
        <v>57</v>
      </c>
      <c r="B93" t="s">
        <v>190</v>
      </c>
      <c r="C93">
        <v>44358</v>
      </c>
      <c r="D93" t="s">
        <v>217</v>
      </c>
      <c r="E93" t="s">
        <v>106</v>
      </c>
      <c r="F93" t="s">
        <v>308</v>
      </c>
      <c r="G93">
        <v>503.73571000000004</v>
      </c>
      <c r="H93">
        <v>92</v>
      </c>
    </row>
    <row r="94" spans="1:8">
      <c r="A94">
        <v>100</v>
      </c>
      <c r="B94" t="s">
        <v>190</v>
      </c>
      <c r="C94">
        <v>45651</v>
      </c>
      <c r="D94" t="s">
        <v>309</v>
      </c>
      <c r="E94" t="s">
        <v>79</v>
      </c>
      <c r="F94" t="s">
        <v>310</v>
      </c>
      <c r="G94">
        <v>450.74406999999997</v>
      </c>
      <c r="H94">
        <v>93</v>
      </c>
    </row>
    <row r="95" spans="1:8">
      <c r="A95">
        <v>114</v>
      </c>
      <c r="B95" t="s">
        <v>190</v>
      </c>
      <c r="C95">
        <v>42613</v>
      </c>
      <c r="D95" t="s">
        <v>264</v>
      </c>
      <c r="E95" t="s">
        <v>106</v>
      </c>
      <c r="F95" t="s">
        <v>311</v>
      </c>
      <c r="G95">
        <v>443.98005999999998</v>
      </c>
      <c r="H95">
        <v>94</v>
      </c>
    </row>
    <row r="96" spans="1:8">
      <c r="A96">
        <v>85</v>
      </c>
      <c r="B96" t="s">
        <v>190</v>
      </c>
      <c r="C96">
        <v>45475</v>
      </c>
      <c r="D96" t="s">
        <v>194</v>
      </c>
      <c r="E96" t="s">
        <v>104</v>
      </c>
      <c r="F96" t="s">
        <v>312</v>
      </c>
      <c r="G96">
        <v>424.97726999999998</v>
      </c>
      <c r="H96">
        <v>95</v>
      </c>
    </row>
    <row r="97" spans="1:8">
      <c r="A97">
        <v>137</v>
      </c>
      <c r="B97" t="s">
        <v>190</v>
      </c>
      <c r="C97">
        <v>42392</v>
      </c>
      <c r="D97" t="s">
        <v>313</v>
      </c>
      <c r="E97" t="s">
        <v>102</v>
      </c>
      <c r="F97" t="s">
        <v>314</v>
      </c>
      <c r="G97">
        <v>408.28053</v>
      </c>
      <c r="H97">
        <v>96</v>
      </c>
    </row>
    <row r="98" spans="1:8">
      <c r="A98">
        <v>138</v>
      </c>
      <c r="B98" t="s">
        <v>190</v>
      </c>
      <c r="C98">
        <v>44000</v>
      </c>
      <c r="D98" t="s">
        <v>315</v>
      </c>
      <c r="E98" t="s">
        <v>106</v>
      </c>
      <c r="F98" t="s">
        <v>316</v>
      </c>
      <c r="G98">
        <v>406.24417000000005</v>
      </c>
      <c r="H98">
        <v>97</v>
      </c>
    </row>
    <row r="99" spans="1:8">
      <c r="A99">
        <v>139</v>
      </c>
      <c r="B99" t="s">
        <v>190</v>
      </c>
      <c r="C99">
        <v>45591</v>
      </c>
      <c r="D99" t="s">
        <v>262</v>
      </c>
      <c r="E99" t="s">
        <v>102</v>
      </c>
      <c r="F99" t="s">
        <v>317</v>
      </c>
      <c r="G99">
        <v>396.53823999999997</v>
      </c>
      <c r="H99">
        <v>98</v>
      </c>
    </row>
    <row r="100" spans="1:8">
      <c r="A100">
        <v>76</v>
      </c>
      <c r="B100" t="s">
        <v>190</v>
      </c>
      <c r="C100">
        <v>45523</v>
      </c>
      <c r="D100" t="s">
        <v>318</v>
      </c>
      <c r="E100" t="s">
        <v>104</v>
      </c>
      <c r="F100" t="s">
        <v>319</v>
      </c>
      <c r="G100">
        <v>394.61077999999998</v>
      </c>
      <c r="H100">
        <v>99</v>
      </c>
    </row>
    <row r="101" spans="1:8">
      <c r="A101">
        <v>96</v>
      </c>
      <c r="B101" t="s">
        <v>190</v>
      </c>
      <c r="C101">
        <v>43131</v>
      </c>
      <c r="D101" t="s">
        <v>320</v>
      </c>
      <c r="E101" t="s">
        <v>106</v>
      </c>
      <c r="F101" t="s">
        <v>321</v>
      </c>
      <c r="G101">
        <v>387.76171999999997</v>
      </c>
      <c r="H101">
        <v>100</v>
      </c>
    </row>
    <row r="102" spans="1:8">
      <c r="A102">
        <v>140</v>
      </c>
      <c r="B102" t="s">
        <v>190</v>
      </c>
      <c r="C102">
        <v>42766</v>
      </c>
      <c r="D102" t="s">
        <v>304</v>
      </c>
      <c r="E102" t="s">
        <v>102</v>
      </c>
      <c r="F102" t="s">
        <v>322</v>
      </c>
      <c r="G102">
        <v>385.95125999999999</v>
      </c>
      <c r="H102">
        <v>101</v>
      </c>
    </row>
    <row r="103" spans="1:8">
      <c r="A103">
        <v>141</v>
      </c>
      <c r="B103" t="s">
        <v>190</v>
      </c>
      <c r="C103">
        <v>45385</v>
      </c>
      <c r="D103" t="s">
        <v>196</v>
      </c>
      <c r="E103" t="s">
        <v>102</v>
      </c>
      <c r="F103" t="s">
        <v>323</v>
      </c>
      <c r="G103">
        <v>384.93226999999996</v>
      </c>
      <c r="H103">
        <v>102</v>
      </c>
    </row>
    <row r="104" spans="1:8">
      <c r="A104">
        <v>388</v>
      </c>
      <c r="B104" t="s">
        <v>190</v>
      </c>
      <c r="C104">
        <v>45861</v>
      </c>
      <c r="D104" t="s">
        <v>324</v>
      </c>
      <c r="E104" t="s">
        <v>79</v>
      </c>
      <c r="F104" t="s">
        <v>325</v>
      </c>
      <c r="G104">
        <v>383.06081999999998</v>
      </c>
      <c r="H104">
        <v>103</v>
      </c>
    </row>
    <row r="105" spans="1:8">
      <c r="A105">
        <v>38</v>
      </c>
      <c r="B105" t="s">
        <v>190</v>
      </c>
      <c r="C105">
        <v>43657</v>
      </c>
      <c r="D105" t="s">
        <v>326</v>
      </c>
      <c r="E105" t="s">
        <v>104</v>
      </c>
      <c r="F105" t="s">
        <v>174</v>
      </c>
      <c r="G105">
        <v>359.04752000000002</v>
      </c>
      <c r="H105">
        <v>104</v>
      </c>
    </row>
    <row r="106" spans="1:8">
      <c r="A106">
        <v>142</v>
      </c>
      <c r="B106" t="s">
        <v>190</v>
      </c>
      <c r="C106">
        <v>45929</v>
      </c>
      <c r="D106" t="s">
        <v>327</v>
      </c>
      <c r="E106" t="s">
        <v>102</v>
      </c>
      <c r="F106" t="s">
        <v>328</v>
      </c>
      <c r="G106">
        <v>355.64177000000001</v>
      </c>
      <c r="H106">
        <v>105</v>
      </c>
    </row>
    <row r="107" spans="1:8">
      <c r="A107">
        <v>143</v>
      </c>
      <c r="B107" t="s">
        <v>190</v>
      </c>
      <c r="C107">
        <v>45927</v>
      </c>
      <c r="D107" t="s">
        <v>194</v>
      </c>
      <c r="E107" t="s">
        <v>104</v>
      </c>
      <c r="F107" t="s">
        <v>329</v>
      </c>
      <c r="G107">
        <v>342.68106</v>
      </c>
      <c r="H107">
        <v>106</v>
      </c>
    </row>
    <row r="108" spans="1:8">
      <c r="A108">
        <v>104</v>
      </c>
      <c r="B108" t="s">
        <v>190</v>
      </c>
      <c r="C108">
        <v>45161</v>
      </c>
      <c r="D108" t="s">
        <v>330</v>
      </c>
      <c r="E108" t="s">
        <v>102</v>
      </c>
      <c r="F108" t="s">
        <v>331</v>
      </c>
      <c r="G108">
        <v>342.64479</v>
      </c>
      <c r="H108">
        <v>107</v>
      </c>
    </row>
    <row r="109" spans="1:8">
      <c r="A109">
        <v>144</v>
      </c>
      <c r="B109" t="s">
        <v>190</v>
      </c>
      <c r="C109">
        <v>45321</v>
      </c>
      <c r="D109" t="s">
        <v>207</v>
      </c>
      <c r="E109" t="s">
        <v>102</v>
      </c>
      <c r="F109" t="s">
        <v>332</v>
      </c>
      <c r="G109">
        <v>333.54719999999998</v>
      </c>
      <c r="H109">
        <v>108</v>
      </c>
    </row>
    <row r="110" spans="1:8">
      <c r="A110">
        <v>67</v>
      </c>
      <c r="B110" t="s">
        <v>190</v>
      </c>
      <c r="C110">
        <v>45093</v>
      </c>
      <c r="D110" t="s">
        <v>333</v>
      </c>
      <c r="E110" t="s">
        <v>102</v>
      </c>
      <c r="F110" t="s">
        <v>334</v>
      </c>
      <c r="G110">
        <v>329.94638999999995</v>
      </c>
      <c r="H110">
        <v>109</v>
      </c>
    </row>
    <row r="111" spans="1:8">
      <c r="A111">
        <v>14</v>
      </c>
      <c r="B111" t="s">
        <v>289</v>
      </c>
      <c r="C111">
        <v>46042</v>
      </c>
      <c r="D111" t="s">
        <v>335</v>
      </c>
      <c r="E111" t="s">
        <v>102</v>
      </c>
      <c r="F111" t="s">
        <v>142</v>
      </c>
      <c r="G111">
        <v>315.78766999999993</v>
      </c>
      <c r="H111">
        <v>110</v>
      </c>
    </row>
    <row r="112" spans="1:8">
      <c r="A112">
        <v>51</v>
      </c>
      <c r="B112" t="s">
        <v>190</v>
      </c>
      <c r="C112">
        <v>45222</v>
      </c>
      <c r="D112" t="s">
        <v>336</v>
      </c>
      <c r="E112" t="s">
        <v>102</v>
      </c>
      <c r="F112" t="s">
        <v>337</v>
      </c>
      <c r="G112">
        <v>310.64513999999997</v>
      </c>
      <c r="H112">
        <v>111</v>
      </c>
    </row>
    <row r="113" spans="1:8">
      <c r="A113">
        <v>145</v>
      </c>
      <c r="B113" t="s">
        <v>190</v>
      </c>
      <c r="C113">
        <v>44742</v>
      </c>
      <c r="D113" t="s">
        <v>338</v>
      </c>
      <c r="E113" t="s">
        <v>102</v>
      </c>
      <c r="F113" t="s">
        <v>339</v>
      </c>
      <c r="G113">
        <v>303.43772999999999</v>
      </c>
      <c r="H113">
        <v>112</v>
      </c>
    </row>
    <row r="114" spans="1:8">
      <c r="A114">
        <v>146</v>
      </c>
      <c r="B114" t="s">
        <v>190</v>
      </c>
      <c r="C114">
        <v>45756</v>
      </c>
      <c r="D114" t="s">
        <v>262</v>
      </c>
      <c r="E114" t="s">
        <v>102</v>
      </c>
      <c r="F114" t="s">
        <v>340</v>
      </c>
      <c r="G114">
        <v>301.27776</v>
      </c>
      <c r="H114">
        <v>113</v>
      </c>
    </row>
    <row r="115" spans="1:8">
      <c r="A115">
        <v>147</v>
      </c>
      <c r="B115" t="s">
        <v>190</v>
      </c>
      <c r="C115">
        <v>45743</v>
      </c>
      <c r="D115" t="s">
        <v>341</v>
      </c>
      <c r="E115" t="s">
        <v>102</v>
      </c>
      <c r="F115" t="s">
        <v>342</v>
      </c>
      <c r="G115">
        <v>300.82981000000001</v>
      </c>
      <c r="H115">
        <v>114</v>
      </c>
    </row>
    <row r="116" spans="1:8">
      <c r="A116">
        <v>148</v>
      </c>
      <c r="B116" t="s">
        <v>190</v>
      </c>
      <c r="C116">
        <v>45876</v>
      </c>
      <c r="D116" t="s">
        <v>194</v>
      </c>
      <c r="E116" t="s">
        <v>102</v>
      </c>
      <c r="F116" t="s">
        <v>343</v>
      </c>
      <c r="G116">
        <v>293.39061000000004</v>
      </c>
      <c r="H116">
        <v>115</v>
      </c>
    </row>
    <row r="117" spans="1:8">
      <c r="A117">
        <v>149</v>
      </c>
      <c r="B117" t="s">
        <v>190</v>
      </c>
      <c r="C117">
        <v>45797</v>
      </c>
      <c r="D117" t="s">
        <v>304</v>
      </c>
      <c r="E117" t="s">
        <v>102</v>
      </c>
      <c r="F117" t="s">
        <v>344</v>
      </c>
      <c r="G117">
        <v>290.76128</v>
      </c>
      <c r="H117">
        <v>116</v>
      </c>
    </row>
    <row r="118" spans="1:8">
      <c r="A118">
        <v>150</v>
      </c>
      <c r="B118" t="s">
        <v>190</v>
      </c>
      <c r="C118">
        <v>45532</v>
      </c>
      <c r="D118" t="s">
        <v>194</v>
      </c>
      <c r="E118" t="s">
        <v>102</v>
      </c>
      <c r="F118" t="s">
        <v>345</v>
      </c>
      <c r="G118">
        <v>287.32522</v>
      </c>
      <c r="H118">
        <v>117</v>
      </c>
    </row>
    <row r="119" spans="1:8">
      <c r="A119">
        <v>79</v>
      </c>
      <c r="B119" t="s">
        <v>190</v>
      </c>
      <c r="C119">
        <v>44427</v>
      </c>
      <c r="D119" t="s">
        <v>106</v>
      </c>
      <c r="E119" t="s">
        <v>106</v>
      </c>
      <c r="F119" t="s">
        <v>346</v>
      </c>
      <c r="G119">
        <v>270.33185000000003</v>
      </c>
      <c r="H119">
        <v>118</v>
      </c>
    </row>
    <row r="120" spans="1:8">
      <c r="A120">
        <v>151</v>
      </c>
      <c r="B120" t="s">
        <v>190</v>
      </c>
      <c r="C120">
        <v>46014</v>
      </c>
      <c r="D120" t="s">
        <v>347</v>
      </c>
      <c r="E120" t="s">
        <v>79</v>
      </c>
      <c r="F120" t="s">
        <v>348</v>
      </c>
      <c r="G120">
        <v>264.75911000000002</v>
      </c>
      <c r="H120">
        <v>119</v>
      </c>
    </row>
    <row r="121" spans="1:8">
      <c r="A121">
        <v>152</v>
      </c>
      <c r="B121" t="s">
        <v>190</v>
      </c>
      <c r="C121">
        <v>44316</v>
      </c>
      <c r="D121" t="s">
        <v>349</v>
      </c>
      <c r="E121" t="s">
        <v>79</v>
      </c>
      <c r="F121" t="s">
        <v>350</v>
      </c>
      <c r="G121">
        <v>255.08725999999999</v>
      </c>
      <c r="H121">
        <v>120</v>
      </c>
    </row>
    <row r="122" spans="1:8">
      <c r="A122">
        <v>64</v>
      </c>
      <c r="B122" t="s">
        <v>190</v>
      </c>
      <c r="C122">
        <v>45852</v>
      </c>
      <c r="D122" t="s">
        <v>351</v>
      </c>
      <c r="E122" t="s">
        <v>102</v>
      </c>
      <c r="F122" t="s">
        <v>352</v>
      </c>
      <c r="G122">
        <v>242.28349000000003</v>
      </c>
      <c r="H122">
        <v>121</v>
      </c>
    </row>
    <row r="123" spans="1:8">
      <c r="A123">
        <v>86</v>
      </c>
      <c r="B123" t="s">
        <v>190</v>
      </c>
      <c r="C123">
        <v>43945</v>
      </c>
      <c r="D123" t="s">
        <v>353</v>
      </c>
      <c r="E123" t="s">
        <v>102</v>
      </c>
      <c r="F123" t="s">
        <v>354</v>
      </c>
      <c r="G123">
        <v>228.88894999999999</v>
      </c>
      <c r="H123">
        <v>122</v>
      </c>
    </row>
    <row r="124" spans="1:8">
      <c r="A124">
        <v>153</v>
      </c>
      <c r="B124" t="s">
        <v>190</v>
      </c>
      <c r="C124">
        <v>45822</v>
      </c>
      <c r="D124" t="s">
        <v>355</v>
      </c>
      <c r="E124" t="s">
        <v>102</v>
      </c>
      <c r="F124" t="s">
        <v>356</v>
      </c>
      <c r="G124">
        <v>227.40089</v>
      </c>
      <c r="H124">
        <v>123</v>
      </c>
    </row>
    <row r="125" spans="1:8">
      <c r="A125">
        <v>154</v>
      </c>
      <c r="B125" t="s">
        <v>190</v>
      </c>
      <c r="C125">
        <v>45950</v>
      </c>
      <c r="D125" t="s">
        <v>264</v>
      </c>
      <c r="E125" t="s">
        <v>106</v>
      </c>
      <c r="F125" t="s">
        <v>357</v>
      </c>
      <c r="G125">
        <v>227.25765000000001</v>
      </c>
      <c r="H125">
        <v>124</v>
      </c>
    </row>
    <row r="126" spans="1:8">
      <c r="A126">
        <v>92</v>
      </c>
      <c r="B126" t="s">
        <v>190</v>
      </c>
      <c r="C126">
        <v>44469</v>
      </c>
      <c r="D126" t="s">
        <v>358</v>
      </c>
      <c r="E126" t="s">
        <v>102</v>
      </c>
      <c r="F126" t="s">
        <v>359</v>
      </c>
      <c r="G126">
        <v>202.22057000000001</v>
      </c>
      <c r="H126">
        <v>125</v>
      </c>
    </row>
    <row r="127" spans="1:8">
      <c r="A127">
        <v>155</v>
      </c>
      <c r="B127" t="s">
        <v>190</v>
      </c>
      <c r="C127">
        <v>43911</v>
      </c>
      <c r="D127" t="s">
        <v>203</v>
      </c>
      <c r="E127" t="s">
        <v>102</v>
      </c>
      <c r="F127" t="s">
        <v>360</v>
      </c>
      <c r="G127">
        <v>198.81652000000003</v>
      </c>
      <c r="H127">
        <v>126</v>
      </c>
    </row>
    <row r="128" spans="1:8">
      <c r="A128">
        <v>156</v>
      </c>
      <c r="B128" t="s">
        <v>190</v>
      </c>
      <c r="C128">
        <v>45814</v>
      </c>
      <c r="D128" t="s">
        <v>196</v>
      </c>
      <c r="E128" t="s">
        <v>102</v>
      </c>
      <c r="F128" t="s">
        <v>361</v>
      </c>
      <c r="G128">
        <v>198.58127999999999</v>
      </c>
      <c r="H128">
        <v>127</v>
      </c>
    </row>
    <row r="129" spans="1:8">
      <c r="A129">
        <v>15</v>
      </c>
      <c r="B129" t="s">
        <v>190</v>
      </c>
      <c r="C129">
        <v>45504</v>
      </c>
      <c r="D129" t="s">
        <v>106</v>
      </c>
      <c r="E129" t="s">
        <v>106</v>
      </c>
      <c r="F129" t="s">
        <v>159</v>
      </c>
      <c r="G129">
        <v>198.03156000000001</v>
      </c>
      <c r="H129">
        <v>128</v>
      </c>
    </row>
    <row r="130" spans="1:8">
      <c r="A130">
        <v>157</v>
      </c>
      <c r="B130" t="s">
        <v>190</v>
      </c>
      <c r="C130">
        <v>45643</v>
      </c>
      <c r="D130" t="s">
        <v>362</v>
      </c>
      <c r="E130" t="s">
        <v>102</v>
      </c>
      <c r="F130" t="s">
        <v>363</v>
      </c>
      <c r="G130">
        <v>195.14640999999997</v>
      </c>
      <c r="H130">
        <v>129</v>
      </c>
    </row>
    <row r="131" spans="1:8">
      <c r="A131">
        <v>99</v>
      </c>
      <c r="B131" t="s">
        <v>190</v>
      </c>
      <c r="C131">
        <v>45183</v>
      </c>
      <c r="D131" t="s">
        <v>304</v>
      </c>
      <c r="E131" t="s">
        <v>102</v>
      </c>
      <c r="F131" t="s">
        <v>364</v>
      </c>
      <c r="G131">
        <v>192.63898</v>
      </c>
      <c r="H131">
        <v>130</v>
      </c>
    </row>
    <row r="132" spans="1:8">
      <c r="A132">
        <v>158</v>
      </c>
      <c r="B132" t="s">
        <v>190</v>
      </c>
      <c r="C132">
        <v>45600</v>
      </c>
      <c r="D132" t="s">
        <v>365</v>
      </c>
      <c r="E132" t="s">
        <v>104</v>
      </c>
      <c r="F132" t="s">
        <v>366</v>
      </c>
      <c r="G132">
        <v>191.75327999999999</v>
      </c>
      <c r="H132">
        <v>131</v>
      </c>
    </row>
    <row r="133" spans="1:8">
      <c r="A133">
        <v>159</v>
      </c>
      <c r="B133" t="s">
        <v>190</v>
      </c>
      <c r="C133">
        <v>44288</v>
      </c>
      <c r="D133" t="s">
        <v>367</v>
      </c>
      <c r="E133" t="s">
        <v>102</v>
      </c>
      <c r="F133" t="s">
        <v>368</v>
      </c>
      <c r="G133">
        <v>190.75013999999999</v>
      </c>
      <c r="H133">
        <v>132</v>
      </c>
    </row>
    <row r="134" spans="1:8">
      <c r="A134">
        <v>160</v>
      </c>
      <c r="B134" t="s">
        <v>190</v>
      </c>
      <c r="C134">
        <v>45678</v>
      </c>
      <c r="D134" t="s">
        <v>369</v>
      </c>
      <c r="E134" t="s">
        <v>79</v>
      </c>
      <c r="F134" t="s">
        <v>370</v>
      </c>
      <c r="G134">
        <v>186.0497</v>
      </c>
      <c r="H134">
        <v>133</v>
      </c>
    </row>
    <row r="135" spans="1:8">
      <c r="A135">
        <v>161</v>
      </c>
      <c r="B135" t="s">
        <v>190</v>
      </c>
      <c r="C135">
        <v>45930</v>
      </c>
      <c r="D135" t="s">
        <v>194</v>
      </c>
      <c r="E135" t="s">
        <v>104</v>
      </c>
      <c r="F135" t="s">
        <v>371</v>
      </c>
      <c r="G135">
        <v>177.07964999999999</v>
      </c>
      <c r="H135">
        <v>134</v>
      </c>
    </row>
    <row r="136" spans="1:8">
      <c r="A136">
        <v>162</v>
      </c>
      <c r="B136" t="s">
        <v>190</v>
      </c>
      <c r="C136">
        <v>45847</v>
      </c>
      <c r="D136" t="s">
        <v>194</v>
      </c>
      <c r="E136" t="s">
        <v>104</v>
      </c>
      <c r="F136" t="s">
        <v>372</v>
      </c>
      <c r="G136">
        <v>175.37353999999999</v>
      </c>
      <c r="H136">
        <v>135</v>
      </c>
    </row>
    <row r="137" spans="1:8">
      <c r="A137">
        <v>163</v>
      </c>
      <c r="B137" t="s">
        <v>190</v>
      </c>
      <c r="C137">
        <v>43738</v>
      </c>
      <c r="D137" t="s">
        <v>245</v>
      </c>
      <c r="E137" t="s">
        <v>102</v>
      </c>
      <c r="F137" t="s">
        <v>373</v>
      </c>
      <c r="G137">
        <v>173.98032000000001</v>
      </c>
      <c r="H137">
        <v>136</v>
      </c>
    </row>
    <row r="138" spans="1:8">
      <c r="A138">
        <v>164</v>
      </c>
      <c r="B138" t="s">
        <v>190</v>
      </c>
      <c r="C138">
        <v>44884</v>
      </c>
      <c r="D138" t="s">
        <v>374</v>
      </c>
      <c r="E138" t="s">
        <v>79</v>
      </c>
      <c r="F138" t="s">
        <v>375</v>
      </c>
      <c r="G138">
        <v>166.80243000000002</v>
      </c>
      <c r="H138">
        <v>137</v>
      </c>
    </row>
    <row r="139" spans="1:8">
      <c r="A139">
        <v>165</v>
      </c>
      <c r="B139" t="s">
        <v>190</v>
      </c>
      <c r="C139">
        <v>45822</v>
      </c>
      <c r="D139" t="s">
        <v>235</v>
      </c>
      <c r="E139" t="s">
        <v>102</v>
      </c>
      <c r="F139" t="s">
        <v>376</v>
      </c>
      <c r="G139">
        <v>165.35177000000002</v>
      </c>
      <c r="H139">
        <v>138</v>
      </c>
    </row>
    <row r="140" spans="1:8">
      <c r="A140">
        <v>166</v>
      </c>
      <c r="B140" t="s">
        <v>190</v>
      </c>
      <c r="C140">
        <v>45836</v>
      </c>
      <c r="D140" t="s">
        <v>194</v>
      </c>
      <c r="E140" t="s">
        <v>102</v>
      </c>
      <c r="F140" t="s">
        <v>377</v>
      </c>
      <c r="G140">
        <v>163.22837000000001</v>
      </c>
      <c r="H140">
        <v>139</v>
      </c>
    </row>
    <row r="141" spans="1:8">
      <c r="A141">
        <v>97</v>
      </c>
      <c r="B141" t="s">
        <v>190</v>
      </c>
      <c r="C141">
        <v>45710</v>
      </c>
      <c r="D141" t="s">
        <v>378</v>
      </c>
      <c r="E141" t="s">
        <v>102</v>
      </c>
      <c r="F141" t="s">
        <v>379</v>
      </c>
      <c r="G141">
        <v>163.14897999999999</v>
      </c>
      <c r="H141">
        <v>140</v>
      </c>
    </row>
    <row r="142" spans="1:8">
      <c r="A142">
        <v>167</v>
      </c>
      <c r="B142" t="s">
        <v>190</v>
      </c>
      <c r="C142">
        <v>45646</v>
      </c>
      <c r="D142" t="s">
        <v>199</v>
      </c>
      <c r="E142" t="s">
        <v>102</v>
      </c>
      <c r="F142" t="s">
        <v>380</v>
      </c>
      <c r="G142">
        <v>155.36545000000001</v>
      </c>
      <c r="H142">
        <v>141</v>
      </c>
    </row>
    <row r="143" spans="1:8">
      <c r="A143">
        <v>168</v>
      </c>
      <c r="B143" t="s">
        <v>190</v>
      </c>
      <c r="C143">
        <v>45184</v>
      </c>
      <c r="D143" t="s">
        <v>381</v>
      </c>
      <c r="E143" t="s">
        <v>102</v>
      </c>
      <c r="F143" t="s">
        <v>382</v>
      </c>
      <c r="G143">
        <v>149.98113999999998</v>
      </c>
      <c r="H143">
        <v>142</v>
      </c>
    </row>
    <row r="144" spans="1:8">
      <c r="A144">
        <v>169</v>
      </c>
      <c r="B144" t="s">
        <v>190</v>
      </c>
      <c r="C144">
        <v>43475</v>
      </c>
      <c r="D144" t="s">
        <v>383</v>
      </c>
      <c r="E144" t="s">
        <v>102</v>
      </c>
      <c r="F144" t="s">
        <v>384</v>
      </c>
      <c r="G144">
        <v>149.21010000000001</v>
      </c>
      <c r="H144">
        <v>143</v>
      </c>
    </row>
    <row r="145" spans="1:8">
      <c r="A145">
        <v>101</v>
      </c>
      <c r="B145" t="s">
        <v>190</v>
      </c>
      <c r="C145">
        <v>44306</v>
      </c>
      <c r="D145" t="s">
        <v>217</v>
      </c>
      <c r="E145" t="s">
        <v>106</v>
      </c>
      <c r="F145" t="s">
        <v>385</v>
      </c>
      <c r="G145">
        <v>148.08043000000001</v>
      </c>
      <c r="H145">
        <v>144</v>
      </c>
    </row>
    <row r="146" spans="1:8">
      <c r="A146">
        <v>170</v>
      </c>
      <c r="B146" t="s">
        <v>190</v>
      </c>
      <c r="C146">
        <v>44406</v>
      </c>
      <c r="D146" t="s">
        <v>386</v>
      </c>
      <c r="E146" t="s">
        <v>106</v>
      </c>
      <c r="F146" t="s">
        <v>387</v>
      </c>
      <c r="G146">
        <v>147.65098</v>
      </c>
      <c r="H146">
        <v>145</v>
      </c>
    </row>
    <row r="147" spans="1:8">
      <c r="A147">
        <v>171</v>
      </c>
      <c r="B147" t="s">
        <v>190</v>
      </c>
      <c r="C147">
        <v>45534</v>
      </c>
      <c r="D147" t="s">
        <v>219</v>
      </c>
      <c r="E147" t="s">
        <v>106</v>
      </c>
      <c r="F147" t="s">
        <v>388</v>
      </c>
      <c r="G147">
        <v>147.64965999999998</v>
      </c>
      <c r="H147">
        <v>146</v>
      </c>
    </row>
    <row r="148" spans="1:8">
      <c r="A148">
        <v>89</v>
      </c>
      <c r="B148" t="s">
        <v>190</v>
      </c>
      <c r="C148">
        <v>45915</v>
      </c>
      <c r="D148" t="s">
        <v>389</v>
      </c>
      <c r="E148" t="s">
        <v>102</v>
      </c>
      <c r="F148" t="s">
        <v>390</v>
      </c>
      <c r="G148">
        <v>147.04706999999999</v>
      </c>
      <c r="H148">
        <v>147</v>
      </c>
    </row>
    <row r="149" spans="1:8">
      <c r="A149">
        <v>172</v>
      </c>
      <c r="B149" t="s">
        <v>190</v>
      </c>
      <c r="C149">
        <v>43790</v>
      </c>
      <c r="D149" t="s">
        <v>391</v>
      </c>
      <c r="E149" t="s">
        <v>102</v>
      </c>
      <c r="F149" t="s">
        <v>392</v>
      </c>
      <c r="G149">
        <v>146.03379999999999</v>
      </c>
      <c r="H149">
        <v>148</v>
      </c>
    </row>
    <row r="150" spans="1:8">
      <c r="A150">
        <v>173</v>
      </c>
      <c r="B150" t="s">
        <v>190</v>
      </c>
      <c r="C150">
        <v>45747</v>
      </c>
      <c r="D150" t="s">
        <v>207</v>
      </c>
      <c r="E150" t="s">
        <v>102</v>
      </c>
      <c r="F150" t="s">
        <v>393</v>
      </c>
      <c r="G150">
        <v>137.84857</v>
      </c>
      <c r="H150">
        <v>149</v>
      </c>
    </row>
    <row r="151" spans="1:8">
      <c r="A151">
        <v>174</v>
      </c>
      <c r="B151" t="s">
        <v>190</v>
      </c>
      <c r="C151">
        <v>45750</v>
      </c>
      <c r="D151" t="s">
        <v>199</v>
      </c>
      <c r="E151" t="s">
        <v>104</v>
      </c>
      <c r="F151" t="s">
        <v>394</v>
      </c>
      <c r="G151">
        <v>136.33805000000001</v>
      </c>
      <c r="H151">
        <v>150</v>
      </c>
    </row>
    <row r="152" spans="1:8">
      <c r="A152">
        <v>175</v>
      </c>
      <c r="B152" t="s">
        <v>190</v>
      </c>
      <c r="C152">
        <v>45882</v>
      </c>
      <c r="D152" t="s">
        <v>395</v>
      </c>
      <c r="E152" t="s">
        <v>104</v>
      </c>
      <c r="F152" t="s">
        <v>396</v>
      </c>
      <c r="G152">
        <v>129.63768000000002</v>
      </c>
      <c r="H152">
        <v>151</v>
      </c>
    </row>
    <row r="153" spans="1:8">
      <c r="A153">
        <v>176</v>
      </c>
      <c r="B153" t="s">
        <v>190</v>
      </c>
      <c r="C153">
        <v>45967</v>
      </c>
      <c r="D153" t="s">
        <v>219</v>
      </c>
      <c r="E153" t="s">
        <v>106</v>
      </c>
      <c r="F153" t="s">
        <v>397</v>
      </c>
      <c r="G153">
        <v>121.92832</v>
      </c>
      <c r="H153">
        <v>152</v>
      </c>
    </row>
    <row r="154" spans="1:8">
      <c r="A154">
        <v>177</v>
      </c>
      <c r="B154" t="s">
        <v>190</v>
      </c>
      <c r="C154">
        <v>45581</v>
      </c>
      <c r="D154" t="s">
        <v>304</v>
      </c>
      <c r="E154" t="s">
        <v>102</v>
      </c>
      <c r="F154" t="s">
        <v>398</v>
      </c>
      <c r="G154">
        <v>121.09345</v>
      </c>
      <c r="H154">
        <v>153</v>
      </c>
    </row>
    <row r="155" spans="1:8">
      <c r="A155">
        <v>178</v>
      </c>
      <c r="B155" t="s">
        <v>190</v>
      </c>
      <c r="C155">
        <v>45397</v>
      </c>
      <c r="D155" t="s">
        <v>206</v>
      </c>
      <c r="E155" t="s">
        <v>106</v>
      </c>
      <c r="F155" t="s">
        <v>399</v>
      </c>
      <c r="G155">
        <v>117.50416</v>
      </c>
      <c r="H155">
        <v>154</v>
      </c>
    </row>
    <row r="156" spans="1:8">
      <c r="A156">
        <v>179</v>
      </c>
      <c r="B156" t="s">
        <v>190</v>
      </c>
      <c r="C156">
        <v>45678</v>
      </c>
      <c r="D156" t="s">
        <v>400</v>
      </c>
      <c r="E156" t="s">
        <v>106</v>
      </c>
      <c r="F156" t="s">
        <v>401</v>
      </c>
      <c r="G156">
        <v>114.7415</v>
      </c>
      <c r="H156">
        <v>155</v>
      </c>
    </row>
    <row r="157" spans="1:8">
      <c r="A157">
        <v>88</v>
      </c>
      <c r="B157" t="s">
        <v>190</v>
      </c>
      <c r="C157">
        <v>43292</v>
      </c>
      <c r="D157" t="s">
        <v>402</v>
      </c>
      <c r="E157" t="s">
        <v>106</v>
      </c>
      <c r="F157" t="s">
        <v>403</v>
      </c>
      <c r="G157">
        <v>112.75692999999998</v>
      </c>
      <c r="H157">
        <v>156</v>
      </c>
    </row>
    <row r="158" spans="1:8">
      <c r="A158">
        <v>90</v>
      </c>
      <c r="B158" t="s">
        <v>190</v>
      </c>
      <c r="C158">
        <v>45234</v>
      </c>
      <c r="D158" t="s">
        <v>404</v>
      </c>
      <c r="E158" t="s">
        <v>79</v>
      </c>
      <c r="F158" t="s">
        <v>405</v>
      </c>
      <c r="G158">
        <v>109.54207</v>
      </c>
      <c r="H158">
        <v>157</v>
      </c>
    </row>
    <row r="159" spans="1:8">
      <c r="A159">
        <v>109</v>
      </c>
      <c r="B159" t="s">
        <v>289</v>
      </c>
      <c r="C159">
        <v>46043</v>
      </c>
      <c r="D159" t="s">
        <v>406</v>
      </c>
      <c r="E159" t="s">
        <v>106</v>
      </c>
      <c r="F159" t="s">
        <v>125</v>
      </c>
      <c r="G159">
        <v>106.25145000000001</v>
      </c>
      <c r="H159">
        <v>158</v>
      </c>
    </row>
    <row r="160" spans="1:8">
      <c r="A160">
        <v>180</v>
      </c>
      <c r="B160" t="s">
        <v>190</v>
      </c>
      <c r="C160">
        <v>43878</v>
      </c>
      <c r="D160" t="s">
        <v>353</v>
      </c>
      <c r="E160" t="s">
        <v>102</v>
      </c>
      <c r="F160" t="s">
        <v>407</v>
      </c>
      <c r="G160">
        <v>103.46275</v>
      </c>
      <c r="H160">
        <v>159</v>
      </c>
    </row>
    <row r="161" spans="1:8">
      <c r="A161">
        <v>181</v>
      </c>
      <c r="B161" t="s">
        <v>190</v>
      </c>
      <c r="C161">
        <v>45967</v>
      </c>
      <c r="D161" t="s">
        <v>408</v>
      </c>
      <c r="E161" t="s">
        <v>79</v>
      </c>
      <c r="F161" t="s">
        <v>409</v>
      </c>
      <c r="G161">
        <v>98.038899999999998</v>
      </c>
      <c r="H161">
        <v>160</v>
      </c>
    </row>
    <row r="162" spans="1:8">
      <c r="A162">
        <v>182</v>
      </c>
      <c r="B162" t="s">
        <v>190</v>
      </c>
      <c r="C162">
        <v>45862</v>
      </c>
      <c r="D162" t="s">
        <v>276</v>
      </c>
      <c r="E162" t="s">
        <v>106</v>
      </c>
      <c r="F162" t="s">
        <v>410</v>
      </c>
      <c r="G162">
        <v>91.355140000000006</v>
      </c>
      <c r="H162">
        <v>161</v>
      </c>
    </row>
    <row r="163" spans="1:8">
      <c r="A163">
        <v>183</v>
      </c>
      <c r="B163" t="s">
        <v>190</v>
      </c>
      <c r="C163">
        <v>42916</v>
      </c>
      <c r="D163" t="s">
        <v>304</v>
      </c>
      <c r="E163" t="s">
        <v>102</v>
      </c>
      <c r="F163" t="s">
        <v>411</v>
      </c>
      <c r="G163">
        <v>85.84</v>
      </c>
      <c r="H163">
        <v>162</v>
      </c>
    </row>
    <row r="164" spans="1:8">
      <c r="A164">
        <v>112</v>
      </c>
      <c r="B164" t="s">
        <v>190</v>
      </c>
      <c r="C164">
        <v>46013</v>
      </c>
      <c r="D164" t="s">
        <v>207</v>
      </c>
      <c r="E164" t="s">
        <v>102</v>
      </c>
      <c r="F164" t="s">
        <v>412</v>
      </c>
      <c r="G164">
        <v>85.813000000000002</v>
      </c>
      <c r="H164">
        <v>163</v>
      </c>
    </row>
    <row r="165" spans="1:8">
      <c r="A165">
        <v>80</v>
      </c>
      <c r="B165" t="s">
        <v>190</v>
      </c>
      <c r="C165">
        <v>45953</v>
      </c>
      <c r="E165" t="s">
        <v>79</v>
      </c>
      <c r="F165" t="s">
        <v>413</v>
      </c>
      <c r="G165">
        <v>81.056280000000001</v>
      </c>
      <c r="H165">
        <v>164</v>
      </c>
    </row>
    <row r="166" spans="1:8">
      <c r="A166">
        <v>184</v>
      </c>
      <c r="B166" t="s">
        <v>190</v>
      </c>
      <c r="C166">
        <v>45953</v>
      </c>
      <c r="D166" t="s">
        <v>414</v>
      </c>
      <c r="E166" t="s">
        <v>79</v>
      </c>
      <c r="F166" t="s">
        <v>415</v>
      </c>
      <c r="G166">
        <v>79.598240000000004</v>
      </c>
      <c r="H166">
        <v>165</v>
      </c>
    </row>
    <row r="167" spans="1:8">
      <c r="A167">
        <v>113</v>
      </c>
      <c r="B167" t="s">
        <v>190</v>
      </c>
      <c r="C167">
        <v>46006</v>
      </c>
      <c r="D167" t="s">
        <v>416</v>
      </c>
      <c r="E167" t="s">
        <v>106</v>
      </c>
      <c r="F167" t="s">
        <v>417</v>
      </c>
      <c r="G167">
        <v>78.62039</v>
      </c>
      <c r="H167">
        <v>166</v>
      </c>
    </row>
    <row r="168" spans="1:8">
      <c r="A168">
        <v>185</v>
      </c>
      <c r="B168" t="s">
        <v>190</v>
      </c>
      <c r="C168">
        <v>45455</v>
      </c>
      <c r="D168" t="s">
        <v>199</v>
      </c>
      <c r="E168" t="s">
        <v>102</v>
      </c>
      <c r="F168" t="s">
        <v>418</v>
      </c>
      <c r="G168">
        <v>77.801730000000006</v>
      </c>
      <c r="H168">
        <v>167</v>
      </c>
    </row>
    <row r="169" spans="1:8">
      <c r="A169">
        <v>186</v>
      </c>
      <c r="B169" t="s">
        <v>190</v>
      </c>
      <c r="C169">
        <v>45801</v>
      </c>
      <c r="D169" t="s">
        <v>419</v>
      </c>
      <c r="E169" t="s">
        <v>102</v>
      </c>
      <c r="F169" t="s">
        <v>420</v>
      </c>
      <c r="G169">
        <v>69.345529999999997</v>
      </c>
      <c r="H169">
        <v>168</v>
      </c>
    </row>
    <row r="170" spans="1:8">
      <c r="A170">
        <v>187</v>
      </c>
      <c r="B170" t="s">
        <v>190</v>
      </c>
      <c r="C170">
        <v>45891</v>
      </c>
      <c r="D170" t="s">
        <v>194</v>
      </c>
      <c r="E170" t="s">
        <v>102</v>
      </c>
      <c r="F170" t="s">
        <v>421</v>
      </c>
      <c r="G170">
        <v>66.052660000000003</v>
      </c>
      <c r="H170">
        <v>169</v>
      </c>
    </row>
    <row r="171" spans="1:8">
      <c r="A171">
        <v>188</v>
      </c>
      <c r="B171" t="s">
        <v>190</v>
      </c>
      <c r="C171">
        <v>44546</v>
      </c>
      <c r="D171" t="s">
        <v>422</v>
      </c>
      <c r="E171" t="s">
        <v>102</v>
      </c>
      <c r="F171" t="s">
        <v>423</v>
      </c>
      <c r="G171">
        <v>64.421520000000001</v>
      </c>
      <c r="H171">
        <v>170</v>
      </c>
    </row>
    <row r="172" spans="1:8">
      <c r="A172">
        <v>189</v>
      </c>
      <c r="B172" t="s">
        <v>190</v>
      </c>
      <c r="C172">
        <v>45756</v>
      </c>
      <c r="D172" t="s">
        <v>424</v>
      </c>
      <c r="E172" t="s">
        <v>102</v>
      </c>
      <c r="F172" t="s">
        <v>425</v>
      </c>
      <c r="G172">
        <v>61.888689999999997</v>
      </c>
      <c r="H172">
        <v>171</v>
      </c>
    </row>
    <row r="173" spans="1:8">
      <c r="A173">
        <v>190</v>
      </c>
      <c r="B173" t="s">
        <v>190</v>
      </c>
      <c r="C173">
        <v>45804</v>
      </c>
      <c r="D173" t="s">
        <v>426</v>
      </c>
      <c r="E173" t="s">
        <v>104</v>
      </c>
      <c r="F173" t="s">
        <v>427</v>
      </c>
      <c r="G173">
        <v>60.884689999999999</v>
      </c>
      <c r="H173">
        <v>172</v>
      </c>
    </row>
    <row r="174" spans="1:8">
      <c r="A174">
        <v>191</v>
      </c>
      <c r="B174" t="s">
        <v>190</v>
      </c>
      <c r="C174" t="s">
        <v>193</v>
      </c>
      <c r="D174" t="s">
        <v>194</v>
      </c>
      <c r="E174" t="s">
        <v>102</v>
      </c>
      <c r="F174" t="s">
        <v>428</v>
      </c>
      <c r="G174">
        <v>58.264150000000001</v>
      </c>
      <c r="H174">
        <v>173</v>
      </c>
    </row>
    <row r="175" spans="1:8">
      <c r="A175">
        <v>110</v>
      </c>
      <c r="B175" t="s">
        <v>190</v>
      </c>
      <c r="C175">
        <v>45465</v>
      </c>
      <c r="D175" t="s">
        <v>429</v>
      </c>
      <c r="E175" t="s">
        <v>106</v>
      </c>
      <c r="F175" t="s">
        <v>430</v>
      </c>
      <c r="G175">
        <v>56.471969999999999</v>
      </c>
      <c r="H175">
        <v>174</v>
      </c>
    </row>
    <row r="176" spans="1:8">
      <c r="A176">
        <v>192</v>
      </c>
      <c r="B176" t="s">
        <v>190</v>
      </c>
      <c r="C176">
        <v>45852</v>
      </c>
      <c r="D176" t="s">
        <v>106</v>
      </c>
      <c r="E176" t="s">
        <v>106</v>
      </c>
      <c r="F176" t="s">
        <v>431</v>
      </c>
      <c r="G176">
        <v>54.968490000000003</v>
      </c>
      <c r="H176">
        <v>175</v>
      </c>
    </row>
    <row r="177" spans="1:8">
      <c r="A177">
        <v>193</v>
      </c>
      <c r="B177" t="s">
        <v>190</v>
      </c>
      <c r="C177">
        <v>44844</v>
      </c>
      <c r="D177" t="s">
        <v>432</v>
      </c>
      <c r="E177" t="s">
        <v>106</v>
      </c>
      <c r="F177" t="s">
        <v>433</v>
      </c>
      <c r="G177">
        <v>52.08</v>
      </c>
      <c r="H177">
        <v>176</v>
      </c>
    </row>
    <row r="178" spans="1:8">
      <c r="A178">
        <v>194</v>
      </c>
      <c r="B178" t="s">
        <v>190</v>
      </c>
      <c r="C178">
        <v>45392</v>
      </c>
      <c r="D178" t="s">
        <v>434</v>
      </c>
      <c r="E178" t="s">
        <v>79</v>
      </c>
      <c r="F178" t="s">
        <v>435</v>
      </c>
      <c r="G178">
        <v>50.339370000000002</v>
      </c>
      <c r="H178">
        <v>177</v>
      </c>
    </row>
    <row r="179" spans="1:8">
      <c r="A179">
        <v>195</v>
      </c>
      <c r="B179" t="s">
        <v>190</v>
      </c>
      <c r="C179">
        <v>45405</v>
      </c>
      <c r="D179" t="s">
        <v>436</v>
      </c>
      <c r="E179" t="s">
        <v>102</v>
      </c>
      <c r="F179" t="s">
        <v>437</v>
      </c>
      <c r="G179">
        <v>44.273449999999997</v>
      </c>
      <c r="H179">
        <v>178</v>
      </c>
    </row>
    <row r="180" spans="1:8">
      <c r="A180">
        <v>196</v>
      </c>
      <c r="B180" t="s">
        <v>190</v>
      </c>
      <c r="C180">
        <v>45797</v>
      </c>
      <c r="D180" t="s">
        <v>438</v>
      </c>
      <c r="E180" t="s">
        <v>106</v>
      </c>
      <c r="F180" t="s">
        <v>439</v>
      </c>
      <c r="G180">
        <v>43.600299999999997</v>
      </c>
      <c r="H180">
        <v>179</v>
      </c>
    </row>
    <row r="181" spans="1:8">
      <c r="A181">
        <v>197</v>
      </c>
      <c r="B181" t="s">
        <v>190</v>
      </c>
      <c r="C181">
        <v>45796</v>
      </c>
      <c r="D181" t="s">
        <v>440</v>
      </c>
      <c r="E181" t="s">
        <v>102</v>
      </c>
      <c r="F181" t="s">
        <v>441</v>
      </c>
      <c r="G181">
        <v>43.26446</v>
      </c>
      <c r="H181">
        <v>180</v>
      </c>
    </row>
    <row r="182" spans="1:8">
      <c r="A182">
        <v>198</v>
      </c>
      <c r="B182" t="s">
        <v>190</v>
      </c>
      <c r="C182">
        <v>43518</v>
      </c>
      <c r="D182" t="s">
        <v>102</v>
      </c>
      <c r="E182" t="s">
        <v>102</v>
      </c>
      <c r="F182" t="s">
        <v>442</v>
      </c>
      <c r="G182">
        <v>35.932119999999998</v>
      </c>
      <c r="H182">
        <v>181</v>
      </c>
    </row>
    <row r="183" spans="1:8">
      <c r="A183">
        <v>108</v>
      </c>
      <c r="B183" t="s">
        <v>190</v>
      </c>
      <c r="C183">
        <v>45537</v>
      </c>
      <c r="D183" t="s">
        <v>443</v>
      </c>
      <c r="E183" t="s">
        <v>102</v>
      </c>
      <c r="F183" t="s">
        <v>444</v>
      </c>
      <c r="G183">
        <v>32.641100000000002</v>
      </c>
      <c r="H183">
        <v>182</v>
      </c>
    </row>
    <row r="184" spans="1:8">
      <c r="A184">
        <v>199</v>
      </c>
      <c r="B184" t="s">
        <v>190</v>
      </c>
      <c r="C184">
        <v>44582</v>
      </c>
      <c r="D184" t="s">
        <v>445</v>
      </c>
      <c r="E184" t="s">
        <v>102</v>
      </c>
      <c r="F184" t="s">
        <v>446</v>
      </c>
      <c r="G184">
        <v>31.603539999999999</v>
      </c>
      <c r="H184">
        <v>183</v>
      </c>
    </row>
    <row r="185" spans="1:8">
      <c r="A185">
        <v>200</v>
      </c>
      <c r="B185" t="s">
        <v>190</v>
      </c>
      <c r="C185">
        <v>43645</v>
      </c>
      <c r="D185" t="s">
        <v>358</v>
      </c>
      <c r="E185" t="s">
        <v>102</v>
      </c>
      <c r="F185" t="s">
        <v>447</v>
      </c>
      <c r="G185">
        <v>31.152100000000001</v>
      </c>
      <c r="H185">
        <v>184</v>
      </c>
    </row>
    <row r="186" spans="1:8">
      <c r="A186">
        <v>201</v>
      </c>
      <c r="B186" t="s">
        <v>190</v>
      </c>
      <c r="C186">
        <v>43927</v>
      </c>
      <c r="D186" t="s">
        <v>207</v>
      </c>
      <c r="E186" t="s">
        <v>102</v>
      </c>
      <c r="F186" t="s">
        <v>448</v>
      </c>
      <c r="G186">
        <v>29.038540000000001</v>
      </c>
      <c r="H186">
        <v>185</v>
      </c>
    </row>
    <row r="187" spans="1:8">
      <c r="A187">
        <v>202</v>
      </c>
      <c r="B187" t="s">
        <v>190</v>
      </c>
      <c r="C187">
        <v>45745</v>
      </c>
      <c r="D187" t="s">
        <v>207</v>
      </c>
      <c r="E187" t="s">
        <v>102</v>
      </c>
      <c r="F187" t="s">
        <v>449</v>
      </c>
      <c r="G187">
        <v>28.163319999999999</v>
      </c>
      <c r="H187">
        <v>186</v>
      </c>
    </row>
    <row r="188" spans="1:8">
      <c r="A188">
        <v>203</v>
      </c>
      <c r="B188" t="s">
        <v>190</v>
      </c>
      <c r="C188">
        <v>43780</v>
      </c>
      <c r="D188" t="s">
        <v>450</v>
      </c>
      <c r="E188" t="s">
        <v>102</v>
      </c>
      <c r="F188" t="s">
        <v>451</v>
      </c>
      <c r="G188">
        <v>25.93319</v>
      </c>
      <c r="H188">
        <v>187</v>
      </c>
    </row>
    <row r="189" spans="1:8">
      <c r="A189">
        <v>9</v>
      </c>
      <c r="B189" t="s">
        <v>190</v>
      </c>
      <c r="C189">
        <v>45908</v>
      </c>
      <c r="D189" t="s">
        <v>452</v>
      </c>
      <c r="E189" t="s">
        <v>79</v>
      </c>
      <c r="F189" t="s">
        <v>151</v>
      </c>
      <c r="G189">
        <v>18.258150000000001</v>
      </c>
      <c r="H189">
        <v>188</v>
      </c>
    </row>
    <row r="190" spans="1:8">
      <c r="A190">
        <v>204</v>
      </c>
      <c r="B190" t="s">
        <v>190</v>
      </c>
      <c r="C190">
        <v>45427</v>
      </c>
      <c r="D190" t="s">
        <v>453</v>
      </c>
      <c r="E190" t="s">
        <v>106</v>
      </c>
      <c r="F190" t="s">
        <v>454</v>
      </c>
      <c r="G190">
        <v>3.2484099999999998</v>
      </c>
      <c r="H190">
        <v>189</v>
      </c>
    </row>
    <row r="191" spans="1:8">
      <c r="A191">
        <v>19</v>
      </c>
      <c r="B191" t="s">
        <v>190</v>
      </c>
      <c r="F191" t="s">
        <v>455</v>
      </c>
      <c r="G191">
        <v>0</v>
      </c>
      <c r="H191">
        <v>190</v>
      </c>
    </row>
    <row r="192" spans="1:8">
      <c r="A192">
        <v>22</v>
      </c>
      <c r="B192" t="s">
        <v>289</v>
      </c>
      <c r="C192">
        <v>46054</v>
      </c>
      <c r="E192" t="s">
        <v>102</v>
      </c>
      <c r="F192" t="s">
        <v>171</v>
      </c>
      <c r="G192">
        <v>0</v>
      </c>
      <c r="H192">
        <v>190</v>
      </c>
    </row>
    <row r="193" spans="1:8">
      <c r="A193">
        <v>30</v>
      </c>
      <c r="B193" t="s">
        <v>289</v>
      </c>
      <c r="C193">
        <v>46054</v>
      </c>
      <c r="D193" t="s">
        <v>355</v>
      </c>
      <c r="E193" t="s">
        <v>102</v>
      </c>
      <c r="F193" t="s">
        <v>456</v>
      </c>
      <c r="G193">
        <v>0</v>
      </c>
      <c r="H193">
        <v>190</v>
      </c>
    </row>
    <row r="194" spans="1:8">
      <c r="A194">
        <v>31</v>
      </c>
      <c r="B194" t="s">
        <v>190</v>
      </c>
      <c r="C194" t="s">
        <v>193</v>
      </c>
      <c r="D194" t="s">
        <v>457</v>
      </c>
      <c r="E194" t="s">
        <v>104</v>
      </c>
      <c r="F194" t="s">
        <v>98</v>
      </c>
      <c r="G194">
        <v>0</v>
      </c>
      <c r="H194">
        <v>190</v>
      </c>
    </row>
    <row r="195" spans="1:8">
      <c r="A195">
        <v>34</v>
      </c>
      <c r="B195" t="s">
        <v>190</v>
      </c>
      <c r="C195" t="s">
        <v>193</v>
      </c>
      <c r="D195" t="s">
        <v>106</v>
      </c>
      <c r="E195" t="s">
        <v>102</v>
      </c>
      <c r="F195" t="s">
        <v>108</v>
      </c>
      <c r="G195">
        <v>0</v>
      </c>
      <c r="H195">
        <v>190</v>
      </c>
    </row>
    <row r="196" spans="1:8">
      <c r="A196">
        <v>55</v>
      </c>
      <c r="B196" t="s">
        <v>190</v>
      </c>
      <c r="D196" t="s">
        <v>194</v>
      </c>
      <c r="E196" t="s">
        <v>102</v>
      </c>
      <c r="F196" t="s">
        <v>103</v>
      </c>
      <c r="G196">
        <v>0</v>
      </c>
      <c r="H196">
        <v>190</v>
      </c>
    </row>
    <row r="197" spans="1:8">
      <c r="A197">
        <v>60</v>
      </c>
      <c r="B197" t="s">
        <v>289</v>
      </c>
      <c r="C197">
        <v>46045</v>
      </c>
      <c r="D197" t="s">
        <v>102</v>
      </c>
      <c r="E197" t="s">
        <v>102</v>
      </c>
      <c r="F197" t="s">
        <v>458</v>
      </c>
      <c r="G197">
        <v>0</v>
      </c>
      <c r="H197">
        <v>190</v>
      </c>
    </row>
    <row r="198" spans="1:8">
      <c r="A198">
        <v>62</v>
      </c>
      <c r="B198" t="s">
        <v>289</v>
      </c>
      <c r="C198">
        <v>46054</v>
      </c>
      <c r="D198" t="s">
        <v>353</v>
      </c>
      <c r="E198" t="s">
        <v>102</v>
      </c>
      <c r="F198" t="s">
        <v>127</v>
      </c>
      <c r="G198">
        <v>0</v>
      </c>
      <c r="H198">
        <v>190</v>
      </c>
    </row>
    <row r="199" spans="1:8">
      <c r="A199">
        <v>75</v>
      </c>
      <c r="B199" t="s">
        <v>190</v>
      </c>
      <c r="D199" t="s">
        <v>102</v>
      </c>
      <c r="E199" t="s">
        <v>102</v>
      </c>
      <c r="F199" t="s">
        <v>111</v>
      </c>
      <c r="G199">
        <v>0</v>
      </c>
      <c r="H199">
        <v>190</v>
      </c>
    </row>
    <row r="200" spans="1:8">
      <c r="A200">
        <v>77</v>
      </c>
      <c r="B200" t="s">
        <v>190</v>
      </c>
      <c r="D200" t="s">
        <v>459</v>
      </c>
      <c r="E200" t="s">
        <v>102</v>
      </c>
      <c r="F200" t="s">
        <v>115</v>
      </c>
      <c r="G200">
        <v>0</v>
      </c>
      <c r="H200">
        <v>190</v>
      </c>
    </row>
    <row r="201" spans="1:8">
      <c r="A201">
        <v>91</v>
      </c>
      <c r="B201" t="s">
        <v>190</v>
      </c>
      <c r="D201" t="s">
        <v>102</v>
      </c>
      <c r="E201" t="s">
        <v>102</v>
      </c>
      <c r="F201" t="s">
        <v>110</v>
      </c>
      <c r="G201">
        <v>0</v>
      </c>
      <c r="H201">
        <v>190</v>
      </c>
    </row>
    <row r="202" spans="1:8">
      <c r="A202">
        <v>94</v>
      </c>
      <c r="B202" t="s">
        <v>289</v>
      </c>
      <c r="C202">
        <v>46048</v>
      </c>
      <c r="D202" t="s">
        <v>351</v>
      </c>
      <c r="E202" t="s">
        <v>102</v>
      </c>
      <c r="F202" t="s">
        <v>460</v>
      </c>
      <c r="G202">
        <v>0</v>
      </c>
      <c r="H202">
        <v>190</v>
      </c>
    </row>
    <row r="203" spans="1:8">
      <c r="A203">
        <v>95</v>
      </c>
      <c r="B203" t="s">
        <v>190</v>
      </c>
      <c r="C203" t="s">
        <v>193</v>
      </c>
      <c r="D203" t="s">
        <v>102</v>
      </c>
      <c r="E203" t="s">
        <v>102</v>
      </c>
      <c r="F203" t="s">
        <v>109</v>
      </c>
      <c r="G203">
        <v>0</v>
      </c>
      <c r="H203">
        <v>190</v>
      </c>
    </row>
    <row r="204" spans="1:8">
      <c r="A204">
        <v>102</v>
      </c>
      <c r="B204" t="s">
        <v>289</v>
      </c>
      <c r="C204">
        <v>46054</v>
      </c>
      <c r="D204" t="s">
        <v>106</v>
      </c>
      <c r="E204" t="s">
        <v>106</v>
      </c>
      <c r="F204" t="s">
        <v>461</v>
      </c>
      <c r="G204">
        <v>0</v>
      </c>
      <c r="H204">
        <v>190</v>
      </c>
    </row>
    <row r="205" spans="1:8">
      <c r="A205">
        <v>107</v>
      </c>
      <c r="B205" t="s">
        <v>190</v>
      </c>
      <c r="C205">
        <v>45329</v>
      </c>
      <c r="D205" t="s">
        <v>386</v>
      </c>
      <c r="E205" t="s">
        <v>106</v>
      </c>
      <c r="F205" t="s">
        <v>462</v>
      </c>
      <c r="G205">
        <v>0</v>
      </c>
      <c r="H205">
        <v>190</v>
      </c>
    </row>
    <row r="206" spans="1:8">
      <c r="A206">
        <v>111</v>
      </c>
      <c r="B206" t="s">
        <v>289</v>
      </c>
      <c r="C206">
        <v>46054</v>
      </c>
      <c r="D206" t="s">
        <v>102</v>
      </c>
      <c r="E206" t="s">
        <v>102</v>
      </c>
      <c r="F206" t="s">
        <v>463</v>
      </c>
      <c r="G206">
        <v>0</v>
      </c>
      <c r="H206">
        <v>190</v>
      </c>
    </row>
    <row r="207" spans="1:8">
      <c r="A207">
        <v>205</v>
      </c>
      <c r="B207" t="s">
        <v>190</v>
      </c>
      <c r="C207">
        <v>45453</v>
      </c>
      <c r="D207" t="s">
        <v>194</v>
      </c>
      <c r="E207" t="s">
        <v>104</v>
      </c>
      <c r="F207" t="s">
        <v>464</v>
      </c>
      <c r="G207">
        <v>0</v>
      </c>
      <c r="H207">
        <v>190</v>
      </c>
    </row>
    <row r="208" spans="1:8">
      <c r="A208">
        <v>206</v>
      </c>
      <c r="B208" t="s">
        <v>190</v>
      </c>
      <c r="E208" t="s">
        <v>102</v>
      </c>
      <c r="F208" t="s">
        <v>465</v>
      </c>
      <c r="G208">
        <v>0</v>
      </c>
      <c r="H208">
        <v>190</v>
      </c>
    </row>
    <row r="209" spans="1:8">
      <c r="A209">
        <v>207</v>
      </c>
      <c r="B209" t="s">
        <v>190</v>
      </c>
      <c r="C209" t="s">
        <v>193</v>
      </c>
      <c r="D209" t="s">
        <v>466</v>
      </c>
      <c r="E209" t="s">
        <v>102</v>
      </c>
      <c r="F209" t="s">
        <v>99</v>
      </c>
      <c r="G209">
        <v>0</v>
      </c>
      <c r="H209">
        <v>190</v>
      </c>
    </row>
    <row r="210" spans="1:8">
      <c r="A210">
        <v>208</v>
      </c>
      <c r="B210" t="s">
        <v>190</v>
      </c>
      <c r="C210" t="s">
        <v>193</v>
      </c>
      <c r="D210" t="s">
        <v>194</v>
      </c>
      <c r="E210" t="s">
        <v>102</v>
      </c>
      <c r="F210" t="s">
        <v>101</v>
      </c>
      <c r="G210">
        <v>0</v>
      </c>
      <c r="H210">
        <v>190</v>
      </c>
    </row>
    <row r="211" spans="1:8">
      <c r="A211">
        <v>209</v>
      </c>
      <c r="B211" t="s">
        <v>190</v>
      </c>
      <c r="C211" t="s">
        <v>193</v>
      </c>
      <c r="D211" t="s">
        <v>102</v>
      </c>
      <c r="E211" t="s">
        <v>102</v>
      </c>
      <c r="F211" t="s">
        <v>123</v>
      </c>
      <c r="G211">
        <v>0</v>
      </c>
      <c r="H211">
        <v>190</v>
      </c>
    </row>
    <row r="212" spans="1:8">
      <c r="A212">
        <v>210</v>
      </c>
      <c r="B212" t="s">
        <v>190</v>
      </c>
      <c r="C212" t="s">
        <v>193</v>
      </c>
      <c r="D212" t="s">
        <v>467</v>
      </c>
      <c r="E212" t="s">
        <v>102</v>
      </c>
      <c r="F212" t="s">
        <v>468</v>
      </c>
      <c r="G212">
        <v>0</v>
      </c>
      <c r="H212">
        <v>190</v>
      </c>
    </row>
    <row r="213" spans="1:8">
      <c r="A213">
        <v>211</v>
      </c>
      <c r="B213" t="s">
        <v>190</v>
      </c>
      <c r="C213" t="s">
        <v>193</v>
      </c>
      <c r="D213" t="s">
        <v>102</v>
      </c>
      <c r="E213" t="s">
        <v>102</v>
      </c>
      <c r="F213" t="s">
        <v>469</v>
      </c>
      <c r="G213">
        <v>0</v>
      </c>
      <c r="H213">
        <v>190</v>
      </c>
    </row>
    <row r="214" spans="1:8">
      <c r="A214">
        <v>212</v>
      </c>
      <c r="B214" t="s">
        <v>190</v>
      </c>
      <c r="D214" t="s">
        <v>199</v>
      </c>
      <c r="E214" t="s">
        <v>104</v>
      </c>
      <c r="F214" t="s">
        <v>470</v>
      </c>
      <c r="G214">
        <v>0</v>
      </c>
      <c r="H214">
        <v>190</v>
      </c>
    </row>
    <row r="215" spans="1:8">
      <c r="A215">
        <v>213</v>
      </c>
      <c r="B215" t="s">
        <v>190</v>
      </c>
      <c r="C215" t="s">
        <v>193</v>
      </c>
      <c r="D215" t="s">
        <v>471</v>
      </c>
      <c r="E215" t="s">
        <v>102</v>
      </c>
      <c r="F215" t="s">
        <v>472</v>
      </c>
      <c r="G215">
        <v>0</v>
      </c>
      <c r="H215">
        <v>190</v>
      </c>
    </row>
    <row r="216" spans="1:8">
      <c r="A216">
        <v>214</v>
      </c>
      <c r="B216" t="s">
        <v>190</v>
      </c>
      <c r="C216">
        <v>45369</v>
      </c>
      <c r="D216" t="s">
        <v>473</v>
      </c>
      <c r="E216" t="s">
        <v>102</v>
      </c>
      <c r="F216" t="s">
        <v>474</v>
      </c>
      <c r="G216">
        <v>0</v>
      </c>
      <c r="H216">
        <v>190</v>
      </c>
    </row>
    <row r="217" spans="1:8">
      <c r="A217">
        <v>215</v>
      </c>
      <c r="B217" t="s">
        <v>190</v>
      </c>
      <c r="C217">
        <v>43130</v>
      </c>
      <c r="D217" t="s">
        <v>367</v>
      </c>
      <c r="E217" t="s">
        <v>102</v>
      </c>
      <c r="F217" t="s">
        <v>475</v>
      </c>
      <c r="G217">
        <v>0</v>
      </c>
      <c r="H217">
        <v>190</v>
      </c>
    </row>
    <row r="218" spans="1:8">
      <c r="A218">
        <v>216</v>
      </c>
      <c r="B218" t="s">
        <v>190</v>
      </c>
      <c r="C218" t="s">
        <v>193</v>
      </c>
      <c r="D218" t="s">
        <v>194</v>
      </c>
      <c r="E218" t="s">
        <v>104</v>
      </c>
      <c r="F218" t="s">
        <v>476</v>
      </c>
      <c r="G218">
        <v>0</v>
      </c>
      <c r="H218">
        <v>190</v>
      </c>
    </row>
    <row r="219" spans="1:8">
      <c r="A219">
        <v>217</v>
      </c>
      <c r="B219" t="s">
        <v>190</v>
      </c>
      <c r="C219">
        <v>43910</v>
      </c>
      <c r="D219" t="s">
        <v>206</v>
      </c>
      <c r="E219" t="s">
        <v>106</v>
      </c>
      <c r="F219" t="s">
        <v>477</v>
      </c>
      <c r="G219">
        <v>0</v>
      </c>
      <c r="H219">
        <v>190</v>
      </c>
    </row>
    <row r="220" spans="1:8">
      <c r="A220">
        <v>218</v>
      </c>
      <c r="B220" t="s">
        <v>190</v>
      </c>
      <c r="C220">
        <v>45311</v>
      </c>
      <c r="D220" t="s">
        <v>395</v>
      </c>
      <c r="E220" t="s">
        <v>102</v>
      </c>
      <c r="F220" t="s">
        <v>478</v>
      </c>
      <c r="G220">
        <v>0</v>
      </c>
      <c r="H220">
        <v>190</v>
      </c>
    </row>
    <row r="221" spans="1:8">
      <c r="A221">
        <v>219</v>
      </c>
      <c r="B221" t="s">
        <v>190</v>
      </c>
      <c r="C221">
        <v>44427</v>
      </c>
      <c r="D221" t="s">
        <v>194</v>
      </c>
      <c r="E221" t="s">
        <v>102</v>
      </c>
      <c r="F221" t="s">
        <v>479</v>
      </c>
      <c r="G221">
        <v>0</v>
      </c>
      <c r="H221">
        <v>190</v>
      </c>
    </row>
    <row r="222" spans="1:8">
      <c r="A222">
        <v>220</v>
      </c>
      <c r="B222" t="s">
        <v>190</v>
      </c>
      <c r="C222">
        <v>44681</v>
      </c>
      <c r="D222" t="s">
        <v>194</v>
      </c>
      <c r="E222" t="s">
        <v>102</v>
      </c>
      <c r="F222" t="s">
        <v>480</v>
      </c>
      <c r="G222">
        <v>0</v>
      </c>
      <c r="H222">
        <v>190</v>
      </c>
    </row>
    <row r="223" spans="1:8">
      <c r="A223">
        <v>221</v>
      </c>
      <c r="B223" t="s">
        <v>190</v>
      </c>
      <c r="C223">
        <v>45257</v>
      </c>
      <c r="D223" t="s">
        <v>194</v>
      </c>
      <c r="E223" t="s">
        <v>102</v>
      </c>
      <c r="F223" t="s">
        <v>481</v>
      </c>
      <c r="G223">
        <v>0</v>
      </c>
      <c r="H223">
        <v>190</v>
      </c>
    </row>
    <row r="224" spans="1:8">
      <c r="A224">
        <v>222</v>
      </c>
      <c r="B224" t="s">
        <v>190</v>
      </c>
      <c r="C224">
        <v>45397</v>
      </c>
      <c r="D224" t="s">
        <v>206</v>
      </c>
      <c r="E224" t="s">
        <v>106</v>
      </c>
      <c r="F224" t="s">
        <v>482</v>
      </c>
      <c r="G224">
        <v>0</v>
      </c>
      <c r="H224">
        <v>190</v>
      </c>
    </row>
    <row r="225" spans="1:8">
      <c r="A225">
        <v>223</v>
      </c>
      <c r="B225" t="s">
        <v>190</v>
      </c>
      <c r="C225" t="s">
        <v>193</v>
      </c>
      <c r="D225" t="s">
        <v>195</v>
      </c>
      <c r="E225" t="s">
        <v>102</v>
      </c>
      <c r="F225" t="s">
        <v>483</v>
      </c>
      <c r="G225">
        <v>0</v>
      </c>
      <c r="H225">
        <v>190</v>
      </c>
    </row>
    <row r="226" spans="1:8">
      <c r="A226">
        <v>224</v>
      </c>
      <c r="B226" t="s">
        <v>190</v>
      </c>
      <c r="C226">
        <v>44887</v>
      </c>
      <c r="D226" t="s">
        <v>353</v>
      </c>
      <c r="E226" t="s">
        <v>102</v>
      </c>
      <c r="F226" t="s">
        <v>484</v>
      </c>
      <c r="G226">
        <v>0</v>
      </c>
      <c r="H226">
        <v>190</v>
      </c>
    </row>
    <row r="227" spans="1:8">
      <c r="A227">
        <v>225</v>
      </c>
      <c r="B227" t="s">
        <v>190</v>
      </c>
      <c r="C227">
        <v>45299</v>
      </c>
      <c r="D227" t="s">
        <v>199</v>
      </c>
      <c r="E227" t="s">
        <v>102</v>
      </c>
      <c r="F227" t="s">
        <v>485</v>
      </c>
      <c r="G227">
        <v>0</v>
      </c>
      <c r="H227">
        <v>190</v>
      </c>
    </row>
    <row r="228" spans="1:8">
      <c r="A228">
        <v>226</v>
      </c>
      <c r="B228" t="s">
        <v>190</v>
      </c>
      <c r="C228">
        <v>45168</v>
      </c>
      <c r="D228" t="s">
        <v>194</v>
      </c>
      <c r="E228" t="s">
        <v>102</v>
      </c>
      <c r="F228" t="s">
        <v>486</v>
      </c>
      <c r="G228">
        <v>0</v>
      </c>
      <c r="H228">
        <v>190</v>
      </c>
    </row>
    <row r="229" spans="1:8">
      <c r="A229">
        <v>227</v>
      </c>
      <c r="B229" t="s">
        <v>190</v>
      </c>
      <c r="C229">
        <v>44074</v>
      </c>
      <c r="D229" t="s">
        <v>199</v>
      </c>
      <c r="E229" t="s">
        <v>102</v>
      </c>
      <c r="F229" t="s">
        <v>487</v>
      </c>
      <c r="G229">
        <v>0</v>
      </c>
      <c r="H229">
        <v>190</v>
      </c>
    </row>
    <row r="230" spans="1:8">
      <c r="A230">
        <v>228</v>
      </c>
      <c r="B230" t="s">
        <v>190</v>
      </c>
      <c r="C230">
        <v>44287</v>
      </c>
      <c r="D230" t="s">
        <v>245</v>
      </c>
      <c r="E230" t="s">
        <v>102</v>
      </c>
      <c r="F230" t="s">
        <v>488</v>
      </c>
      <c r="G230">
        <v>0</v>
      </c>
      <c r="H230">
        <v>190</v>
      </c>
    </row>
    <row r="231" spans="1:8">
      <c r="A231">
        <v>229</v>
      </c>
      <c r="B231" t="s">
        <v>190</v>
      </c>
      <c r="C231">
        <v>45314</v>
      </c>
      <c r="D231" t="s">
        <v>199</v>
      </c>
      <c r="E231" t="s">
        <v>102</v>
      </c>
      <c r="F231" t="s">
        <v>489</v>
      </c>
      <c r="G231">
        <v>0</v>
      </c>
      <c r="H231">
        <v>190</v>
      </c>
    </row>
    <row r="232" spans="1:8">
      <c r="A232">
        <v>230</v>
      </c>
      <c r="B232" t="s">
        <v>190</v>
      </c>
      <c r="C232">
        <v>45288</v>
      </c>
      <c r="D232" t="s">
        <v>207</v>
      </c>
      <c r="E232" t="s">
        <v>102</v>
      </c>
      <c r="F232" t="s">
        <v>490</v>
      </c>
      <c r="G232">
        <v>0</v>
      </c>
      <c r="H232">
        <v>190</v>
      </c>
    </row>
    <row r="233" spans="1:8">
      <c r="A233">
        <v>231</v>
      </c>
      <c r="B233" t="s">
        <v>190</v>
      </c>
      <c r="C233">
        <v>45082</v>
      </c>
      <c r="D233" t="s">
        <v>292</v>
      </c>
      <c r="E233" t="s">
        <v>106</v>
      </c>
      <c r="F233" t="s">
        <v>491</v>
      </c>
      <c r="G233">
        <v>0</v>
      </c>
      <c r="H233">
        <v>190</v>
      </c>
    </row>
    <row r="234" spans="1:8">
      <c r="A234">
        <v>232</v>
      </c>
      <c r="B234" t="s">
        <v>190</v>
      </c>
      <c r="C234">
        <v>45281</v>
      </c>
      <c r="D234" t="s">
        <v>492</v>
      </c>
      <c r="E234" t="s">
        <v>102</v>
      </c>
      <c r="F234" t="s">
        <v>493</v>
      </c>
      <c r="G234">
        <v>0</v>
      </c>
      <c r="H234">
        <v>190</v>
      </c>
    </row>
    <row r="235" spans="1:8">
      <c r="A235">
        <v>233</v>
      </c>
      <c r="B235" t="s">
        <v>190</v>
      </c>
      <c r="C235">
        <v>45650</v>
      </c>
      <c r="D235" t="s">
        <v>266</v>
      </c>
      <c r="E235" t="s">
        <v>102</v>
      </c>
      <c r="F235" t="s">
        <v>494</v>
      </c>
      <c r="G235">
        <v>0</v>
      </c>
      <c r="H235">
        <v>190</v>
      </c>
    </row>
    <row r="236" spans="1:8">
      <c r="A236">
        <v>234</v>
      </c>
      <c r="B236" t="s">
        <v>190</v>
      </c>
      <c r="C236">
        <v>44408</v>
      </c>
      <c r="D236" t="s">
        <v>194</v>
      </c>
      <c r="E236" t="s">
        <v>102</v>
      </c>
      <c r="F236" t="s">
        <v>495</v>
      </c>
      <c r="G236">
        <v>0</v>
      </c>
      <c r="H236">
        <v>190</v>
      </c>
    </row>
    <row r="237" spans="1:8">
      <c r="A237">
        <v>235</v>
      </c>
      <c r="B237" t="s">
        <v>190</v>
      </c>
      <c r="C237">
        <v>45385</v>
      </c>
      <c r="D237" t="s">
        <v>102</v>
      </c>
      <c r="E237" t="s">
        <v>102</v>
      </c>
      <c r="F237" t="s">
        <v>496</v>
      </c>
      <c r="G237">
        <v>0</v>
      </c>
      <c r="H237">
        <v>190</v>
      </c>
    </row>
    <row r="238" spans="1:8">
      <c r="A238">
        <v>236</v>
      </c>
      <c r="B238" t="s">
        <v>190</v>
      </c>
      <c r="C238">
        <v>45269</v>
      </c>
      <c r="D238" t="s">
        <v>492</v>
      </c>
      <c r="E238" t="s">
        <v>102</v>
      </c>
      <c r="F238" t="s">
        <v>497</v>
      </c>
      <c r="G238">
        <v>0</v>
      </c>
      <c r="H238">
        <v>190</v>
      </c>
    </row>
    <row r="239" spans="1:8">
      <c r="A239">
        <v>237</v>
      </c>
      <c r="B239" t="s">
        <v>190</v>
      </c>
      <c r="C239">
        <v>44881</v>
      </c>
      <c r="D239" t="s">
        <v>353</v>
      </c>
      <c r="E239" t="s">
        <v>102</v>
      </c>
      <c r="F239" t="s">
        <v>498</v>
      </c>
      <c r="G239">
        <v>0</v>
      </c>
      <c r="H239">
        <v>190</v>
      </c>
    </row>
    <row r="240" spans="1:8">
      <c r="A240">
        <v>238</v>
      </c>
      <c r="B240" t="s">
        <v>190</v>
      </c>
      <c r="C240">
        <v>45483</v>
      </c>
      <c r="D240" t="s">
        <v>395</v>
      </c>
      <c r="E240" t="s">
        <v>102</v>
      </c>
      <c r="F240" t="s">
        <v>499</v>
      </c>
      <c r="G240">
        <v>0</v>
      </c>
      <c r="H240">
        <v>190</v>
      </c>
    </row>
    <row r="241" spans="1:8">
      <c r="A241">
        <v>239</v>
      </c>
      <c r="B241" t="s">
        <v>190</v>
      </c>
      <c r="C241">
        <v>45097</v>
      </c>
      <c r="D241" t="s">
        <v>199</v>
      </c>
      <c r="E241" t="s">
        <v>102</v>
      </c>
      <c r="F241" t="s">
        <v>500</v>
      </c>
      <c r="G241">
        <v>0</v>
      </c>
      <c r="H241">
        <v>190</v>
      </c>
    </row>
    <row r="242" spans="1:8">
      <c r="A242">
        <v>240</v>
      </c>
      <c r="B242" t="s">
        <v>190</v>
      </c>
      <c r="C242">
        <v>45583</v>
      </c>
      <c r="D242" t="s">
        <v>501</v>
      </c>
      <c r="E242" t="s">
        <v>106</v>
      </c>
      <c r="F242" t="s">
        <v>502</v>
      </c>
      <c r="G242">
        <v>0</v>
      </c>
      <c r="H242">
        <v>190</v>
      </c>
    </row>
    <row r="243" spans="1:8">
      <c r="A243">
        <v>241</v>
      </c>
      <c r="B243" t="s">
        <v>190</v>
      </c>
      <c r="C243">
        <v>44762</v>
      </c>
      <c r="D243" t="s">
        <v>503</v>
      </c>
      <c r="E243" t="s">
        <v>102</v>
      </c>
      <c r="F243" t="s">
        <v>504</v>
      </c>
      <c r="G243">
        <v>0</v>
      </c>
      <c r="H243">
        <v>190</v>
      </c>
    </row>
    <row r="244" spans="1:8">
      <c r="A244">
        <v>242</v>
      </c>
      <c r="B244" t="s">
        <v>190</v>
      </c>
      <c r="C244">
        <v>45043</v>
      </c>
      <c r="D244" t="s">
        <v>505</v>
      </c>
      <c r="E244" t="s">
        <v>106</v>
      </c>
      <c r="F244" t="s">
        <v>506</v>
      </c>
      <c r="G244">
        <v>0</v>
      </c>
      <c r="H244">
        <v>190</v>
      </c>
    </row>
    <row r="245" spans="1:8">
      <c r="A245">
        <v>243</v>
      </c>
      <c r="B245" t="s">
        <v>190</v>
      </c>
      <c r="C245">
        <v>44977</v>
      </c>
      <c r="D245" t="s">
        <v>304</v>
      </c>
      <c r="E245" t="s">
        <v>102</v>
      </c>
      <c r="F245" t="s">
        <v>507</v>
      </c>
      <c r="G245">
        <v>0</v>
      </c>
      <c r="H245">
        <v>190</v>
      </c>
    </row>
    <row r="246" spans="1:8">
      <c r="A246">
        <v>244</v>
      </c>
      <c r="B246" t="s">
        <v>190</v>
      </c>
      <c r="C246">
        <v>45627</v>
      </c>
      <c r="D246" t="s">
        <v>508</v>
      </c>
      <c r="E246" t="s">
        <v>102</v>
      </c>
      <c r="F246" t="s">
        <v>509</v>
      </c>
      <c r="G246">
        <v>0</v>
      </c>
      <c r="H246">
        <v>190</v>
      </c>
    </row>
    <row r="247" spans="1:8">
      <c r="A247">
        <v>245</v>
      </c>
      <c r="B247" t="s">
        <v>190</v>
      </c>
      <c r="C247">
        <v>44365</v>
      </c>
      <c r="D247" t="s">
        <v>304</v>
      </c>
      <c r="E247" t="s">
        <v>102</v>
      </c>
      <c r="F247" t="s">
        <v>510</v>
      </c>
      <c r="G247">
        <v>0</v>
      </c>
      <c r="H247">
        <v>190</v>
      </c>
    </row>
    <row r="248" spans="1:8">
      <c r="A248">
        <v>246</v>
      </c>
      <c r="B248" t="s">
        <v>190</v>
      </c>
      <c r="C248">
        <v>45392</v>
      </c>
      <c r="D248" t="s">
        <v>262</v>
      </c>
      <c r="E248" t="s">
        <v>102</v>
      </c>
      <c r="F248" t="s">
        <v>511</v>
      </c>
      <c r="G248">
        <v>0</v>
      </c>
      <c r="H248">
        <v>190</v>
      </c>
    </row>
    <row r="249" spans="1:8">
      <c r="A249">
        <v>247</v>
      </c>
      <c r="B249" t="s">
        <v>190</v>
      </c>
      <c r="C249">
        <v>44865</v>
      </c>
      <c r="D249" t="s">
        <v>194</v>
      </c>
      <c r="E249" t="s">
        <v>102</v>
      </c>
      <c r="F249" t="s">
        <v>512</v>
      </c>
      <c r="G249">
        <v>0</v>
      </c>
      <c r="H249">
        <v>190</v>
      </c>
    </row>
    <row r="250" spans="1:8">
      <c r="A250">
        <v>248</v>
      </c>
      <c r="B250" t="s">
        <v>190</v>
      </c>
      <c r="C250">
        <v>45461</v>
      </c>
      <c r="D250" t="s">
        <v>353</v>
      </c>
      <c r="E250" t="s">
        <v>102</v>
      </c>
      <c r="F250" t="s">
        <v>513</v>
      </c>
      <c r="G250">
        <v>0</v>
      </c>
      <c r="H250">
        <v>190</v>
      </c>
    </row>
    <row r="251" spans="1:8">
      <c r="A251">
        <v>249</v>
      </c>
      <c r="B251" t="s">
        <v>190</v>
      </c>
      <c r="C251">
        <v>41696</v>
      </c>
      <c r="D251" t="s">
        <v>257</v>
      </c>
      <c r="E251" t="s">
        <v>102</v>
      </c>
      <c r="F251" t="s">
        <v>514</v>
      </c>
      <c r="G251">
        <v>0</v>
      </c>
      <c r="H251">
        <v>190</v>
      </c>
    </row>
    <row r="252" spans="1:8">
      <c r="A252">
        <v>250</v>
      </c>
      <c r="B252" t="s">
        <v>190</v>
      </c>
      <c r="C252">
        <v>45044</v>
      </c>
      <c r="D252" t="s">
        <v>194</v>
      </c>
      <c r="E252" t="s">
        <v>102</v>
      </c>
      <c r="F252" t="s">
        <v>515</v>
      </c>
      <c r="G252">
        <v>0</v>
      </c>
      <c r="H252">
        <v>190</v>
      </c>
    </row>
    <row r="253" spans="1:8">
      <c r="A253">
        <v>251</v>
      </c>
      <c r="B253" t="s">
        <v>190</v>
      </c>
      <c r="C253">
        <v>44215</v>
      </c>
      <c r="D253" t="s">
        <v>264</v>
      </c>
      <c r="E253" t="s">
        <v>106</v>
      </c>
      <c r="F253" t="s">
        <v>516</v>
      </c>
      <c r="G253">
        <v>0</v>
      </c>
      <c r="H253">
        <v>190</v>
      </c>
    </row>
    <row r="254" spans="1:8">
      <c r="A254">
        <v>252</v>
      </c>
      <c r="B254" t="s">
        <v>190</v>
      </c>
      <c r="C254">
        <v>44162</v>
      </c>
      <c r="D254" t="s">
        <v>517</v>
      </c>
      <c r="E254" t="s">
        <v>102</v>
      </c>
      <c r="F254" t="s">
        <v>518</v>
      </c>
      <c r="G254">
        <v>0</v>
      </c>
      <c r="H254">
        <v>190</v>
      </c>
    </row>
    <row r="255" spans="1:8">
      <c r="A255">
        <v>253</v>
      </c>
      <c r="B255" t="s">
        <v>190</v>
      </c>
      <c r="C255">
        <v>45183</v>
      </c>
      <c r="D255" t="s">
        <v>519</v>
      </c>
      <c r="E255" t="s">
        <v>102</v>
      </c>
      <c r="F255" t="s">
        <v>520</v>
      </c>
      <c r="G255">
        <v>0</v>
      </c>
      <c r="H255">
        <v>190</v>
      </c>
    </row>
    <row r="256" spans="1:8">
      <c r="A256">
        <v>254</v>
      </c>
      <c r="B256" t="s">
        <v>190</v>
      </c>
      <c r="C256">
        <v>45471</v>
      </c>
      <c r="D256" t="s">
        <v>521</v>
      </c>
      <c r="E256" t="s">
        <v>102</v>
      </c>
      <c r="F256" t="s">
        <v>522</v>
      </c>
      <c r="G256">
        <v>0</v>
      </c>
      <c r="H256">
        <v>190</v>
      </c>
    </row>
    <row r="257" spans="1:8">
      <c r="A257">
        <v>255</v>
      </c>
      <c r="B257" t="s">
        <v>190</v>
      </c>
      <c r="C257" t="s">
        <v>193</v>
      </c>
      <c r="D257">
        <v>0</v>
      </c>
      <c r="F257" t="s">
        <v>523</v>
      </c>
      <c r="G257">
        <v>0</v>
      </c>
      <c r="H257">
        <v>190</v>
      </c>
    </row>
    <row r="258" spans="1:8">
      <c r="A258">
        <v>256</v>
      </c>
      <c r="B258" t="s">
        <v>190</v>
      </c>
      <c r="C258">
        <v>45635</v>
      </c>
      <c r="D258" t="s">
        <v>353</v>
      </c>
      <c r="E258" t="s">
        <v>102</v>
      </c>
      <c r="F258" t="s">
        <v>524</v>
      </c>
      <c r="G258">
        <v>0</v>
      </c>
      <c r="H258">
        <v>190</v>
      </c>
    </row>
    <row r="259" spans="1:8">
      <c r="A259">
        <v>257</v>
      </c>
      <c r="B259" t="s">
        <v>190</v>
      </c>
      <c r="C259">
        <v>45300</v>
      </c>
      <c r="D259" t="s">
        <v>194</v>
      </c>
      <c r="E259" t="s">
        <v>102</v>
      </c>
      <c r="F259" t="s">
        <v>525</v>
      </c>
      <c r="G259">
        <v>0</v>
      </c>
      <c r="H259">
        <v>190</v>
      </c>
    </row>
    <row r="260" spans="1:8">
      <c r="A260">
        <v>258</v>
      </c>
      <c r="B260" t="s">
        <v>190</v>
      </c>
      <c r="C260">
        <v>43908</v>
      </c>
      <c r="D260" t="s">
        <v>501</v>
      </c>
      <c r="E260" t="s">
        <v>106</v>
      </c>
      <c r="F260" t="s">
        <v>526</v>
      </c>
      <c r="G260">
        <v>0</v>
      </c>
      <c r="H260">
        <v>190</v>
      </c>
    </row>
    <row r="261" spans="1:8">
      <c r="A261">
        <v>259</v>
      </c>
      <c r="B261" t="s">
        <v>190</v>
      </c>
      <c r="C261">
        <v>45191</v>
      </c>
      <c r="D261" t="s">
        <v>199</v>
      </c>
      <c r="E261" t="s">
        <v>102</v>
      </c>
      <c r="F261" t="s">
        <v>527</v>
      </c>
      <c r="G261">
        <v>0</v>
      </c>
      <c r="H261">
        <v>190</v>
      </c>
    </row>
    <row r="262" spans="1:8">
      <c r="A262">
        <v>260</v>
      </c>
      <c r="B262" t="s">
        <v>190</v>
      </c>
      <c r="C262">
        <v>45542</v>
      </c>
      <c r="D262" t="s">
        <v>207</v>
      </c>
      <c r="E262" t="s">
        <v>102</v>
      </c>
      <c r="F262" t="s">
        <v>528</v>
      </c>
      <c r="G262">
        <v>0</v>
      </c>
      <c r="H262">
        <v>190</v>
      </c>
    </row>
    <row r="263" spans="1:8">
      <c r="A263">
        <v>261</v>
      </c>
      <c r="B263" t="s">
        <v>190</v>
      </c>
      <c r="C263">
        <v>45442</v>
      </c>
      <c r="D263" t="s">
        <v>450</v>
      </c>
      <c r="E263" t="s">
        <v>106</v>
      </c>
      <c r="F263" t="s">
        <v>529</v>
      </c>
      <c r="G263">
        <v>0</v>
      </c>
      <c r="H263">
        <v>190</v>
      </c>
    </row>
    <row r="264" spans="1:8">
      <c r="A264">
        <v>262</v>
      </c>
      <c r="B264" t="s">
        <v>190</v>
      </c>
      <c r="C264">
        <v>44802</v>
      </c>
      <c r="D264" t="s">
        <v>429</v>
      </c>
      <c r="E264" t="s">
        <v>106</v>
      </c>
      <c r="F264" t="s">
        <v>530</v>
      </c>
      <c r="G264">
        <v>0</v>
      </c>
      <c r="H264">
        <v>190</v>
      </c>
    </row>
    <row r="265" spans="1:8">
      <c r="A265">
        <v>263</v>
      </c>
      <c r="B265" t="s">
        <v>190</v>
      </c>
      <c r="C265">
        <v>45169</v>
      </c>
      <c r="D265" t="s">
        <v>519</v>
      </c>
      <c r="E265" t="s">
        <v>102</v>
      </c>
      <c r="F265" t="s">
        <v>531</v>
      </c>
      <c r="G265">
        <v>0</v>
      </c>
      <c r="H265">
        <v>190</v>
      </c>
    </row>
    <row r="266" spans="1:8">
      <c r="A266">
        <v>264</v>
      </c>
      <c r="B266" t="s">
        <v>190</v>
      </c>
      <c r="C266">
        <v>44915</v>
      </c>
      <c r="D266" t="s">
        <v>266</v>
      </c>
      <c r="E266" t="s">
        <v>102</v>
      </c>
      <c r="F266" t="s">
        <v>532</v>
      </c>
      <c r="G266">
        <v>0</v>
      </c>
      <c r="H266">
        <v>190</v>
      </c>
    </row>
    <row r="267" spans="1:8">
      <c r="A267">
        <v>265</v>
      </c>
      <c r="B267" t="s">
        <v>190</v>
      </c>
      <c r="C267">
        <v>44468</v>
      </c>
      <c r="D267" t="s">
        <v>533</v>
      </c>
      <c r="E267" t="s">
        <v>106</v>
      </c>
      <c r="F267" t="s">
        <v>534</v>
      </c>
      <c r="G267">
        <v>0</v>
      </c>
      <c r="H267">
        <v>190</v>
      </c>
    </row>
    <row r="268" spans="1:8">
      <c r="A268">
        <v>266</v>
      </c>
      <c r="B268" t="s">
        <v>190</v>
      </c>
      <c r="C268">
        <v>45371</v>
      </c>
      <c r="D268" t="s">
        <v>535</v>
      </c>
      <c r="E268" t="s">
        <v>102</v>
      </c>
      <c r="F268" t="s">
        <v>536</v>
      </c>
      <c r="G268">
        <v>0</v>
      </c>
      <c r="H268">
        <v>190</v>
      </c>
    </row>
    <row r="269" spans="1:8">
      <c r="A269">
        <v>267</v>
      </c>
      <c r="B269" t="s">
        <v>190</v>
      </c>
      <c r="C269">
        <v>45562</v>
      </c>
      <c r="D269" t="s">
        <v>391</v>
      </c>
      <c r="E269" t="s">
        <v>102</v>
      </c>
      <c r="F269" t="s">
        <v>537</v>
      </c>
      <c r="G269">
        <v>0</v>
      </c>
      <c r="H269">
        <v>190</v>
      </c>
    </row>
    <row r="270" spans="1:8">
      <c r="A270">
        <v>268</v>
      </c>
      <c r="B270" t="s">
        <v>190</v>
      </c>
      <c r="C270" t="s">
        <v>193</v>
      </c>
      <c r="D270" t="s">
        <v>538</v>
      </c>
      <c r="F270" t="s">
        <v>539</v>
      </c>
      <c r="G270">
        <v>0</v>
      </c>
      <c r="H270">
        <v>190</v>
      </c>
    </row>
    <row r="271" spans="1:8">
      <c r="A271">
        <v>269</v>
      </c>
      <c r="B271" t="s">
        <v>190</v>
      </c>
      <c r="C271">
        <v>44922</v>
      </c>
      <c r="D271" t="s">
        <v>540</v>
      </c>
      <c r="E271" t="s">
        <v>79</v>
      </c>
      <c r="F271" t="s">
        <v>541</v>
      </c>
      <c r="G271">
        <v>0</v>
      </c>
      <c r="H271">
        <v>190</v>
      </c>
    </row>
    <row r="272" spans="1:8">
      <c r="A272">
        <v>270</v>
      </c>
      <c r="B272" t="s">
        <v>190</v>
      </c>
      <c r="C272">
        <v>44813</v>
      </c>
      <c r="D272" t="s">
        <v>199</v>
      </c>
      <c r="E272" t="s">
        <v>102</v>
      </c>
      <c r="F272" t="s">
        <v>542</v>
      </c>
      <c r="G272">
        <v>0</v>
      </c>
      <c r="H272">
        <v>190</v>
      </c>
    </row>
    <row r="273" spans="1:8">
      <c r="A273">
        <v>271</v>
      </c>
      <c r="B273" t="s">
        <v>190</v>
      </c>
      <c r="C273">
        <v>45523</v>
      </c>
      <c r="D273" t="s">
        <v>235</v>
      </c>
      <c r="E273" t="s">
        <v>102</v>
      </c>
      <c r="F273" t="s">
        <v>543</v>
      </c>
      <c r="G273">
        <v>0</v>
      </c>
      <c r="H273">
        <v>190</v>
      </c>
    </row>
    <row r="274" spans="1:8">
      <c r="A274">
        <v>272</v>
      </c>
      <c r="B274" t="s">
        <v>190</v>
      </c>
      <c r="C274">
        <v>43862</v>
      </c>
      <c r="D274" t="s">
        <v>501</v>
      </c>
      <c r="E274" t="s">
        <v>106</v>
      </c>
      <c r="F274" t="s">
        <v>544</v>
      </c>
      <c r="G274">
        <v>0</v>
      </c>
      <c r="H274">
        <v>190</v>
      </c>
    </row>
    <row r="275" spans="1:8">
      <c r="A275">
        <v>273</v>
      </c>
      <c r="B275" t="s">
        <v>190</v>
      </c>
      <c r="C275">
        <v>43590</v>
      </c>
      <c r="D275" t="s">
        <v>545</v>
      </c>
      <c r="E275" t="s">
        <v>102</v>
      </c>
      <c r="F275" t="s">
        <v>546</v>
      </c>
      <c r="G275">
        <v>0</v>
      </c>
      <c r="H275">
        <v>190</v>
      </c>
    </row>
    <row r="276" spans="1:8">
      <c r="A276">
        <v>274</v>
      </c>
      <c r="B276" t="s">
        <v>190</v>
      </c>
      <c r="C276">
        <v>45098</v>
      </c>
      <c r="D276" t="s">
        <v>194</v>
      </c>
      <c r="E276" t="s">
        <v>102</v>
      </c>
      <c r="F276" t="s">
        <v>547</v>
      </c>
      <c r="G276">
        <v>0</v>
      </c>
      <c r="H276">
        <v>190</v>
      </c>
    </row>
    <row r="277" spans="1:8">
      <c r="A277">
        <v>275</v>
      </c>
      <c r="B277" t="s">
        <v>190</v>
      </c>
      <c r="C277">
        <v>44981</v>
      </c>
      <c r="D277" t="s">
        <v>195</v>
      </c>
      <c r="E277" t="s">
        <v>102</v>
      </c>
      <c r="F277" t="s">
        <v>548</v>
      </c>
      <c r="G277">
        <v>0</v>
      </c>
      <c r="H277">
        <v>190</v>
      </c>
    </row>
    <row r="278" spans="1:8">
      <c r="A278">
        <v>276</v>
      </c>
      <c r="B278" t="s">
        <v>190</v>
      </c>
      <c r="C278">
        <v>45559</v>
      </c>
      <c r="D278" t="s">
        <v>207</v>
      </c>
      <c r="E278" t="s">
        <v>102</v>
      </c>
      <c r="F278" t="s">
        <v>549</v>
      </c>
      <c r="G278">
        <v>0</v>
      </c>
      <c r="H278">
        <v>190</v>
      </c>
    </row>
    <row r="279" spans="1:8">
      <c r="A279">
        <v>277</v>
      </c>
      <c r="B279" t="s">
        <v>190</v>
      </c>
      <c r="C279">
        <v>45469</v>
      </c>
      <c r="D279" t="s">
        <v>492</v>
      </c>
      <c r="E279" t="s">
        <v>102</v>
      </c>
      <c r="F279" t="s">
        <v>550</v>
      </c>
      <c r="G279">
        <v>0</v>
      </c>
      <c r="H279">
        <v>190</v>
      </c>
    </row>
    <row r="280" spans="1:8">
      <c r="A280">
        <v>278</v>
      </c>
      <c r="B280" t="s">
        <v>190</v>
      </c>
      <c r="C280">
        <v>44407</v>
      </c>
      <c r="D280" t="s">
        <v>358</v>
      </c>
      <c r="E280" t="s">
        <v>102</v>
      </c>
      <c r="F280" t="s">
        <v>551</v>
      </c>
      <c r="G280">
        <v>0</v>
      </c>
      <c r="H280">
        <v>190</v>
      </c>
    </row>
    <row r="281" spans="1:8">
      <c r="A281">
        <v>279</v>
      </c>
      <c r="B281" t="s">
        <v>190</v>
      </c>
      <c r="C281">
        <v>44925</v>
      </c>
      <c r="D281" t="s">
        <v>207</v>
      </c>
      <c r="E281" t="s">
        <v>102</v>
      </c>
      <c r="F281" t="s">
        <v>552</v>
      </c>
      <c r="G281">
        <v>0</v>
      </c>
      <c r="H281">
        <v>190</v>
      </c>
    </row>
    <row r="282" spans="1:8">
      <c r="A282">
        <v>280</v>
      </c>
      <c r="B282" t="s">
        <v>190</v>
      </c>
      <c r="C282">
        <v>44485</v>
      </c>
      <c r="D282" t="s">
        <v>443</v>
      </c>
      <c r="E282" t="s">
        <v>102</v>
      </c>
      <c r="F282" t="s">
        <v>553</v>
      </c>
      <c r="G282">
        <v>0</v>
      </c>
      <c r="H282">
        <v>190</v>
      </c>
    </row>
    <row r="283" spans="1:8">
      <c r="A283">
        <v>281</v>
      </c>
      <c r="B283" t="s">
        <v>190</v>
      </c>
      <c r="C283">
        <v>45132</v>
      </c>
      <c r="D283" t="s">
        <v>276</v>
      </c>
      <c r="E283" t="s">
        <v>106</v>
      </c>
      <c r="F283" t="s">
        <v>554</v>
      </c>
      <c r="G283">
        <v>0</v>
      </c>
      <c r="H283">
        <v>190</v>
      </c>
    </row>
    <row r="284" spans="1:8">
      <c r="A284">
        <v>282</v>
      </c>
      <c r="B284" t="s">
        <v>190</v>
      </c>
      <c r="C284" t="s">
        <v>193</v>
      </c>
      <c r="D284" t="s">
        <v>276</v>
      </c>
      <c r="E284" t="s">
        <v>106</v>
      </c>
      <c r="F284" t="s">
        <v>555</v>
      </c>
      <c r="G284">
        <v>0</v>
      </c>
      <c r="H284">
        <v>190</v>
      </c>
    </row>
    <row r="285" spans="1:8">
      <c r="A285">
        <v>283</v>
      </c>
      <c r="B285" t="s">
        <v>190</v>
      </c>
      <c r="C285" t="s">
        <v>556</v>
      </c>
      <c r="D285" t="s">
        <v>556</v>
      </c>
      <c r="E285" t="s">
        <v>556</v>
      </c>
      <c r="F285" t="s">
        <v>557</v>
      </c>
      <c r="G285">
        <v>0</v>
      </c>
      <c r="H285">
        <v>190</v>
      </c>
    </row>
    <row r="286" spans="1:8">
      <c r="A286">
        <v>284</v>
      </c>
      <c r="B286" t="s">
        <v>190</v>
      </c>
      <c r="C286" t="s">
        <v>193</v>
      </c>
      <c r="D286" t="s">
        <v>558</v>
      </c>
      <c r="E286" t="s">
        <v>102</v>
      </c>
      <c r="F286" t="s">
        <v>559</v>
      </c>
      <c r="G286">
        <v>0</v>
      </c>
      <c r="H286">
        <v>190</v>
      </c>
    </row>
    <row r="287" spans="1:8">
      <c r="A287">
        <v>285</v>
      </c>
      <c r="B287" t="s">
        <v>190</v>
      </c>
      <c r="C287" t="s">
        <v>193</v>
      </c>
      <c r="D287" t="s">
        <v>560</v>
      </c>
      <c r="E287" t="s">
        <v>106</v>
      </c>
      <c r="F287" t="s">
        <v>561</v>
      </c>
      <c r="G287">
        <v>0</v>
      </c>
      <c r="H287">
        <v>190</v>
      </c>
    </row>
    <row r="288" spans="1:8">
      <c r="A288">
        <v>286</v>
      </c>
      <c r="B288" t="s">
        <v>190</v>
      </c>
      <c r="C288">
        <v>44429</v>
      </c>
      <c r="D288" t="s">
        <v>503</v>
      </c>
      <c r="E288" t="s">
        <v>102</v>
      </c>
      <c r="F288" t="s">
        <v>562</v>
      </c>
      <c r="G288">
        <v>0</v>
      </c>
      <c r="H288">
        <v>190</v>
      </c>
    </row>
    <row r="289" spans="1:8">
      <c r="A289">
        <v>287</v>
      </c>
      <c r="B289" t="s">
        <v>190</v>
      </c>
      <c r="C289" t="s">
        <v>193</v>
      </c>
      <c r="D289" t="s">
        <v>374</v>
      </c>
      <c r="E289" t="s">
        <v>79</v>
      </c>
      <c r="F289" t="s">
        <v>563</v>
      </c>
      <c r="G289">
        <v>0</v>
      </c>
      <c r="H289">
        <v>190</v>
      </c>
    </row>
    <row r="290" spans="1:8">
      <c r="A290">
        <v>288</v>
      </c>
      <c r="B290" t="s">
        <v>190</v>
      </c>
      <c r="C290" t="s">
        <v>193</v>
      </c>
      <c r="D290" t="s">
        <v>102</v>
      </c>
      <c r="E290" t="s">
        <v>102</v>
      </c>
      <c r="F290" t="s">
        <v>564</v>
      </c>
      <c r="G290">
        <v>0</v>
      </c>
      <c r="H290">
        <v>190</v>
      </c>
    </row>
    <row r="291" spans="1:8">
      <c r="A291">
        <v>289</v>
      </c>
      <c r="B291" t="s">
        <v>190</v>
      </c>
      <c r="C291" t="s">
        <v>193</v>
      </c>
      <c r="F291" t="s">
        <v>565</v>
      </c>
      <c r="G291">
        <v>0</v>
      </c>
      <c r="H291">
        <v>190</v>
      </c>
    </row>
    <row r="292" spans="1:8">
      <c r="A292">
        <v>290</v>
      </c>
      <c r="B292" t="s">
        <v>190</v>
      </c>
      <c r="C292" t="s">
        <v>193</v>
      </c>
      <c r="D292" t="s">
        <v>503</v>
      </c>
      <c r="E292" t="s">
        <v>102</v>
      </c>
      <c r="F292" t="s">
        <v>566</v>
      </c>
      <c r="G292">
        <v>0</v>
      </c>
      <c r="H292">
        <v>190</v>
      </c>
    </row>
    <row r="293" spans="1:8">
      <c r="A293">
        <v>291</v>
      </c>
      <c r="B293" t="s">
        <v>190</v>
      </c>
      <c r="C293" t="s">
        <v>193</v>
      </c>
      <c r="F293" t="s">
        <v>567</v>
      </c>
      <c r="G293">
        <v>0</v>
      </c>
      <c r="H293">
        <v>190</v>
      </c>
    </row>
    <row r="294" spans="1:8">
      <c r="A294">
        <v>292</v>
      </c>
      <c r="B294" t="s">
        <v>190</v>
      </c>
      <c r="C294">
        <v>43131</v>
      </c>
      <c r="D294" t="s">
        <v>304</v>
      </c>
      <c r="E294" t="s">
        <v>102</v>
      </c>
      <c r="F294" t="s">
        <v>568</v>
      </c>
      <c r="G294">
        <v>0</v>
      </c>
      <c r="H294">
        <v>190</v>
      </c>
    </row>
    <row r="295" spans="1:8">
      <c r="A295">
        <v>293</v>
      </c>
      <c r="B295" t="s">
        <v>190</v>
      </c>
      <c r="C295">
        <v>44932</v>
      </c>
      <c r="D295" t="s">
        <v>194</v>
      </c>
      <c r="E295" t="s">
        <v>102</v>
      </c>
      <c r="F295" t="s">
        <v>569</v>
      </c>
      <c r="G295">
        <v>0</v>
      </c>
      <c r="H295">
        <v>190</v>
      </c>
    </row>
    <row r="296" spans="1:8">
      <c r="A296">
        <v>294</v>
      </c>
      <c r="B296" t="s">
        <v>190</v>
      </c>
      <c r="C296">
        <v>43312</v>
      </c>
      <c r="D296" t="s">
        <v>320</v>
      </c>
      <c r="E296" t="s">
        <v>106</v>
      </c>
      <c r="F296" t="s">
        <v>570</v>
      </c>
      <c r="G296">
        <v>0</v>
      </c>
      <c r="H296">
        <v>190</v>
      </c>
    </row>
    <row r="297" spans="1:8">
      <c r="A297">
        <v>295</v>
      </c>
      <c r="B297" t="s">
        <v>190</v>
      </c>
      <c r="C297">
        <v>44880</v>
      </c>
      <c r="D297" t="s">
        <v>315</v>
      </c>
      <c r="E297" t="s">
        <v>106</v>
      </c>
      <c r="F297" t="s">
        <v>571</v>
      </c>
      <c r="G297">
        <v>0</v>
      </c>
      <c r="H297">
        <v>190</v>
      </c>
    </row>
    <row r="298" spans="1:8">
      <c r="A298">
        <v>296</v>
      </c>
      <c r="B298" t="s">
        <v>190</v>
      </c>
      <c r="C298">
        <v>44746</v>
      </c>
      <c r="D298" t="s">
        <v>206</v>
      </c>
      <c r="E298" t="s">
        <v>106</v>
      </c>
      <c r="F298" t="s">
        <v>572</v>
      </c>
      <c r="G298">
        <v>0</v>
      </c>
      <c r="H298">
        <v>190</v>
      </c>
    </row>
    <row r="299" spans="1:8">
      <c r="A299">
        <v>297</v>
      </c>
      <c r="B299" t="s">
        <v>190</v>
      </c>
      <c r="C299">
        <v>45278</v>
      </c>
      <c r="D299" t="s">
        <v>573</v>
      </c>
      <c r="E299" t="s">
        <v>102</v>
      </c>
      <c r="F299" t="s">
        <v>574</v>
      </c>
      <c r="G299">
        <v>0</v>
      </c>
      <c r="H299">
        <v>190</v>
      </c>
    </row>
    <row r="300" spans="1:8">
      <c r="A300">
        <v>298</v>
      </c>
      <c r="B300" t="s">
        <v>190</v>
      </c>
      <c r="C300" t="s">
        <v>193</v>
      </c>
      <c r="D300" t="s">
        <v>443</v>
      </c>
      <c r="E300" t="s">
        <v>102</v>
      </c>
      <c r="F300" t="s">
        <v>575</v>
      </c>
      <c r="G300">
        <v>0</v>
      </c>
      <c r="H300">
        <v>190</v>
      </c>
    </row>
    <row r="301" spans="1:8">
      <c r="A301">
        <v>299</v>
      </c>
      <c r="B301" t="s">
        <v>190</v>
      </c>
      <c r="C301" t="s">
        <v>193</v>
      </c>
      <c r="D301" t="s">
        <v>501</v>
      </c>
      <c r="E301" t="s">
        <v>106</v>
      </c>
      <c r="F301" t="s">
        <v>105</v>
      </c>
      <c r="G301">
        <v>0</v>
      </c>
      <c r="H301">
        <v>190</v>
      </c>
    </row>
    <row r="302" spans="1:8">
      <c r="A302">
        <v>300</v>
      </c>
      <c r="B302" t="s">
        <v>190</v>
      </c>
      <c r="C302">
        <v>45200</v>
      </c>
      <c r="D302" t="s">
        <v>576</v>
      </c>
      <c r="E302" t="s">
        <v>102</v>
      </c>
      <c r="F302" t="s">
        <v>577</v>
      </c>
      <c r="G302">
        <v>0</v>
      </c>
      <c r="H302">
        <v>190</v>
      </c>
    </row>
    <row r="303" spans="1:8">
      <c r="A303">
        <v>301</v>
      </c>
      <c r="B303" t="s">
        <v>190</v>
      </c>
      <c r="C303">
        <v>44956</v>
      </c>
      <c r="D303" t="s">
        <v>578</v>
      </c>
      <c r="E303" t="s">
        <v>102</v>
      </c>
      <c r="F303" t="s">
        <v>579</v>
      </c>
      <c r="G303">
        <v>0</v>
      </c>
      <c r="H303">
        <v>190</v>
      </c>
    </row>
    <row r="304" spans="1:8">
      <c r="A304">
        <v>302</v>
      </c>
      <c r="B304" t="s">
        <v>190</v>
      </c>
      <c r="C304">
        <v>45139</v>
      </c>
      <c r="D304" t="s">
        <v>503</v>
      </c>
      <c r="E304" t="s">
        <v>102</v>
      </c>
      <c r="F304" t="s">
        <v>580</v>
      </c>
      <c r="G304">
        <v>0</v>
      </c>
      <c r="H304">
        <v>190</v>
      </c>
    </row>
    <row r="305" spans="1:8">
      <c r="A305">
        <v>303</v>
      </c>
      <c r="B305" t="s">
        <v>190</v>
      </c>
      <c r="C305" t="s">
        <v>193</v>
      </c>
      <c r="D305" t="s">
        <v>492</v>
      </c>
      <c r="F305" t="s">
        <v>581</v>
      </c>
      <c r="G305">
        <v>0</v>
      </c>
      <c r="H305">
        <v>190</v>
      </c>
    </row>
    <row r="306" spans="1:8">
      <c r="A306">
        <v>304</v>
      </c>
      <c r="B306" t="s">
        <v>190</v>
      </c>
      <c r="C306" t="s">
        <v>193</v>
      </c>
      <c r="D306" t="s">
        <v>304</v>
      </c>
      <c r="E306" t="s">
        <v>102</v>
      </c>
      <c r="F306" t="s">
        <v>582</v>
      </c>
      <c r="G306">
        <v>0</v>
      </c>
      <c r="H306">
        <v>190</v>
      </c>
    </row>
    <row r="307" spans="1:8">
      <c r="A307">
        <v>305</v>
      </c>
      <c r="B307" t="s">
        <v>190</v>
      </c>
      <c r="C307">
        <v>44936</v>
      </c>
      <c r="D307" t="s">
        <v>519</v>
      </c>
      <c r="E307" t="s">
        <v>102</v>
      </c>
      <c r="F307" t="s">
        <v>583</v>
      </c>
      <c r="G307">
        <v>0</v>
      </c>
      <c r="H307">
        <v>190</v>
      </c>
    </row>
    <row r="308" spans="1:8">
      <c r="A308">
        <v>306</v>
      </c>
      <c r="B308" t="s">
        <v>190</v>
      </c>
      <c r="C308">
        <v>45108</v>
      </c>
      <c r="D308" t="s">
        <v>194</v>
      </c>
      <c r="E308" t="s">
        <v>102</v>
      </c>
      <c r="F308" t="s">
        <v>584</v>
      </c>
      <c r="G308">
        <v>0</v>
      </c>
      <c r="H308">
        <v>190</v>
      </c>
    </row>
    <row r="309" spans="1:8">
      <c r="A309">
        <v>307</v>
      </c>
      <c r="B309" t="s">
        <v>190</v>
      </c>
      <c r="C309">
        <v>44331</v>
      </c>
      <c r="D309" t="s">
        <v>207</v>
      </c>
      <c r="E309" t="s">
        <v>102</v>
      </c>
      <c r="F309" t="s">
        <v>585</v>
      </c>
      <c r="G309">
        <v>0</v>
      </c>
      <c r="H309">
        <v>190</v>
      </c>
    </row>
    <row r="310" spans="1:8">
      <c r="A310">
        <v>308</v>
      </c>
      <c r="B310" t="s">
        <v>190</v>
      </c>
      <c r="C310">
        <v>45055</v>
      </c>
      <c r="D310" t="s">
        <v>519</v>
      </c>
      <c r="E310" t="s">
        <v>102</v>
      </c>
      <c r="F310" t="s">
        <v>586</v>
      </c>
      <c r="G310">
        <v>0</v>
      </c>
      <c r="H310">
        <v>190</v>
      </c>
    </row>
    <row r="311" spans="1:8">
      <c r="A311">
        <v>309</v>
      </c>
      <c r="B311" t="s">
        <v>190</v>
      </c>
      <c r="C311">
        <v>43068</v>
      </c>
      <c r="D311" t="s">
        <v>587</v>
      </c>
      <c r="E311" t="s">
        <v>102</v>
      </c>
      <c r="F311" t="s">
        <v>588</v>
      </c>
      <c r="G311">
        <v>0</v>
      </c>
      <c r="H311">
        <v>190</v>
      </c>
    </row>
    <row r="312" spans="1:8">
      <c r="A312">
        <v>310</v>
      </c>
      <c r="B312" t="s">
        <v>190</v>
      </c>
      <c r="C312">
        <v>44851</v>
      </c>
      <c r="D312" t="s">
        <v>589</v>
      </c>
      <c r="E312" t="s">
        <v>102</v>
      </c>
      <c r="F312" t="s">
        <v>590</v>
      </c>
      <c r="G312">
        <v>0</v>
      </c>
      <c r="H312">
        <v>190</v>
      </c>
    </row>
    <row r="313" spans="1:8">
      <c r="A313">
        <v>311</v>
      </c>
      <c r="B313" t="s">
        <v>190</v>
      </c>
      <c r="C313">
        <v>45236</v>
      </c>
      <c r="D313" t="s">
        <v>429</v>
      </c>
      <c r="E313" t="s">
        <v>106</v>
      </c>
      <c r="F313" t="s">
        <v>591</v>
      </c>
      <c r="G313">
        <v>0</v>
      </c>
      <c r="H313">
        <v>190</v>
      </c>
    </row>
    <row r="314" spans="1:8">
      <c r="A314">
        <v>312</v>
      </c>
      <c r="B314" t="s">
        <v>190</v>
      </c>
      <c r="C314">
        <v>45171</v>
      </c>
      <c r="D314" t="s">
        <v>207</v>
      </c>
      <c r="E314" t="s">
        <v>102</v>
      </c>
      <c r="F314" t="s">
        <v>592</v>
      </c>
      <c r="G314">
        <v>0</v>
      </c>
      <c r="H314">
        <v>190</v>
      </c>
    </row>
    <row r="315" spans="1:8">
      <c r="A315">
        <v>313</v>
      </c>
      <c r="B315" t="s">
        <v>190</v>
      </c>
      <c r="C315">
        <v>44621</v>
      </c>
      <c r="D315" t="s">
        <v>467</v>
      </c>
      <c r="E315" t="s">
        <v>102</v>
      </c>
      <c r="F315" t="s">
        <v>593</v>
      </c>
      <c r="G315">
        <v>0</v>
      </c>
      <c r="H315">
        <v>190</v>
      </c>
    </row>
    <row r="316" spans="1:8">
      <c r="A316">
        <v>314</v>
      </c>
      <c r="B316" t="s">
        <v>190</v>
      </c>
      <c r="C316">
        <v>44529</v>
      </c>
      <c r="D316" t="s">
        <v>594</v>
      </c>
      <c r="E316" t="s">
        <v>106</v>
      </c>
      <c r="F316" t="s">
        <v>595</v>
      </c>
      <c r="G316">
        <v>0</v>
      </c>
      <c r="H316">
        <v>190</v>
      </c>
    </row>
    <row r="317" spans="1:8">
      <c r="A317">
        <v>315</v>
      </c>
      <c r="B317" t="s">
        <v>190</v>
      </c>
      <c r="C317">
        <v>44608</v>
      </c>
      <c r="D317" t="s">
        <v>264</v>
      </c>
      <c r="E317" t="s">
        <v>106</v>
      </c>
      <c r="F317" t="s">
        <v>596</v>
      </c>
      <c r="G317">
        <v>0</v>
      </c>
      <c r="H317">
        <v>190</v>
      </c>
    </row>
    <row r="318" spans="1:8">
      <c r="A318">
        <v>316</v>
      </c>
      <c r="B318" t="s">
        <v>190</v>
      </c>
      <c r="C318">
        <v>45071</v>
      </c>
      <c r="D318" t="s">
        <v>194</v>
      </c>
      <c r="E318" t="s">
        <v>102</v>
      </c>
      <c r="F318" t="s">
        <v>597</v>
      </c>
      <c r="G318">
        <v>0</v>
      </c>
      <c r="H318">
        <v>190</v>
      </c>
    </row>
    <row r="319" spans="1:8">
      <c r="A319">
        <v>317</v>
      </c>
      <c r="B319" t="s">
        <v>190</v>
      </c>
      <c r="C319">
        <v>44675</v>
      </c>
      <c r="D319" t="s">
        <v>503</v>
      </c>
      <c r="E319" t="s">
        <v>102</v>
      </c>
      <c r="F319" t="s">
        <v>598</v>
      </c>
      <c r="G319">
        <v>0</v>
      </c>
      <c r="H319">
        <v>190</v>
      </c>
    </row>
    <row r="320" spans="1:8">
      <c r="A320">
        <v>318</v>
      </c>
      <c r="B320" t="s">
        <v>190</v>
      </c>
      <c r="C320">
        <v>45077</v>
      </c>
      <c r="D320" t="s">
        <v>503</v>
      </c>
      <c r="E320" t="s">
        <v>102</v>
      </c>
      <c r="F320" t="s">
        <v>599</v>
      </c>
      <c r="G320">
        <v>0</v>
      </c>
      <c r="H320">
        <v>190</v>
      </c>
    </row>
    <row r="321" spans="1:8">
      <c r="A321">
        <v>319</v>
      </c>
      <c r="B321" t="s">
        <v>190</v>
      </c>
      <c r="C321">
        <v>43749</v>
      </c>
      <c r="D321" t="s">
        <v>519</v>
      </c>
      <c r="E321" t="s">
        <v>102</v>
      </c>
      <c r="F321" t="s">
        <v>600</v>
      </c>
      <c r="G321">
        <v>0</v>
      </c>
      <c r="H321">
        <v>190</v>
      </c>
    </row>
    <row r="322" spans="1:8">
      <c r="A322">
        <v>320</v>
      </c>
      <c r="B322" t="s">
        <v>190</v>
      </c>
      <c r="C322">
        <v>44972</v>
      </c>
      <c r="D322" t="s">
        <v>519</v>
      </c>
      <c r="E322" t="s">
        <v>102</v>
      </c>
      <c r="F322" t="s">
        <v>601</v>
      </c>
      <c r="G322">
        <v>0</v>
      </c>
      <c r="H322">
        <v>190</v>
      </c>
    </row>
    <row r="323" spans="1:8">
      <c r="A323">
        <v>321</v>
      </c>
      <c r="B323" t="s">
        <v>190</v>
      </c>
      <c r="C323">
        <v>44925</v>
      </c>
      <c r="D323" t="s">
        <v>206</v>
      </c>
      <c r="E323" t="s">
        <v>106</v>
      </c>
      <c r="F323" t="s">
        <v>602</v>
      </c>
      <c r="G323">
        <v>0</v>
      </c>
      <c r="H323">
        <v>190</v>
      </c>
    </row>
    <row r="324" spans="1:8">
      <c r="A324">
        <v>322</v>
      </c>
      <c r="B324" t="s">
        <v>190</v>
      </c>
      <c r="C324" t="s">
        <v>193</v>
      </c>
      <c r="D324" t="s">
        <v>353</v>
      </c>
      <c r="E324" t="s">
        <v>102</v>
      </c>
      <c r="F324" t="s">
        <v>603</v>
      </c>
      <c r="G324">
        <v>0</v>
      </c>
      <c r="H324">
        <v>190</v>
      </c>
    </row>
    <row r="325" spans="1:8">
      <c r="A325">
        <v>323</v>
      </c>
      <c r="B325" t="s">
        <v>190</v>
      </c>
      <c r="C325">
        <v>44287</v>
      </c>
      <c r="D325" t="s">
        <v>353</v>
      </c>
      <c r="E325" t="s">
        <v>102</v>
      </c>
      <c r="F325" t="s">
        <v>604</v>
      </c>
      <c r="G325">
        <v>0</v>
      </c>
      <c r="H325">
        <v>190</v>
      </c>
    </row>
    <row r="326" spans="1:8">
      <c r="A326">
        <v>324</v>
      </c>
      <c r="B326" t="s">
        <v>190</v>
      </c>
      <c r="C326">
        <v>45191</v>
      </c>
      <c r="D326" t="s">
        <v>194</v>
      </c>
      <c r="E326" t="s">
        <v>102</v>
      </c>
      <c r="F326" t="s">
        <v>605</v>
      </c>
      <c r="G326">
        <v>0</v>
      </c>
      <c r="H326">
        <v>190</v>
      </c>
    </row>
    <row r="327" spans="1:8">
      <c r="A327">
        <v>325</v>
      </c>
      <c r="B327" t="s">
        <v>190</v>
      </c>
      <c r="C327">
        <v>45236</v>
      </c>
      <c r="D327" t="s">
        <v>606</v>
      </c>
      <c r="E327" t="s">
        <v>102</v>
      </c>
      <c r="F327" t="s">
        <v>607</v>
      </c>
      <c r="G327">
        <v>0</v>
      </c>
      <c r="H327">
        <v>190</v>
      </c>
    </row>
    <row r="328" spans="1:8">
      <c r="A328">
        <v>326</v>
      </c>
      <c r="B328" t="s">
        <v>190</v>
      </c>
      <c r="C328">
        <v>44649</v>
      </c>
      <c r="D328" t="s">
        <v>353</v>
      </c>
      <c r="E328" t="s">
        <v>102</v>
      </c>
      <c r="F328" t="s">
        <v>608</v>
      </c>
      <c r="G328">
        <v>0</v>
      </c>
      <c r="H328">
        <v>190</v>
      </c>
    </row>
    <row r="329" spans="1:8">
      <c r="A329">
        <v>327</v>
      </c>
      <c r="B329" t="s">
        <v>190</v>
      </c>
      <c r="C329">
        <v>44926</v>
      </c>
      <c r="D329" t="s">
        <v>333</v>
      </c>
      <c r="E329" t="s">
        <v>102</v>
      </c>
      <c r="F329" t="s">
        <v>609</v>
      </c>
      <c r="G329">
        <v>0</v>
      </c>
      <c r="H329">
        <v>190</v>
      </c>
    </row>
    <row r="330" spans="1:8">
      <c r="A330">
        <v>328</v>
      </c>
      <c r="B330" t="s">
        <v>190</v>
      </c>
      <c r="C330" t="s">
        <v>193</v>
      </c>
      <c r="D330">
        <v>0</v>
      </c>
      <c r="F330" t="s">
        <v>610</v>
      </c>
      <c r="G330">
        <v>0</v>
      </c>
      <c r="H330">
        <v>190</v>
      </c>
    </row>
    <row r="331" spans="1:8">
      <c r="A331">
        <v>329</v>
      </c>
      <c r="B331" t="s">
        <v>190</v>
      </c>
      <c r="C331" t="s">
        <v>193</v>
      </c>
      <c r="D331" t="s">
        <v>391</v>
      </c>
      <c r="F331" t="s">
        <v>611</v>
      </c>
      <c r="G331">
        <v>0</v>
      </c>
      <c r="H331">
        <v>190</v>
      </c>
    </row>
    <row r="332" spans="1:8">
      <c r="A332">
        <v>330</v>
      </c>
      <c r="B332" t="s">
        <v>190</v>
      </c>
      <c r="C332" t="s">
        <v>193</v>
      </c>
      <c r="D332" t="s">
        <v>395</v>
      </c>
      <c r="F332" t="s">
        <v>612</v>
      </c>
      <c r="G332">
        <v>0</v>
      </c>
      <c r="H332">
        <v>190</v>
      </c>
    </row>
    <row r="333" spans="1:8">
      <c r="A333">
        <v>331</v>
      </c>
      <c r="B333" t="s">
        <v>190</v>
      </c>
      <c r="C333" t="s">
        <v>193</v>
      </c>
      <c r="D333" t="s">
        <v>276</v>
      </c>
      <c r="F333" t="s">
        <v>613</v>
      </c>
      <c r="G333">
        <v>0</v>
      </c>
      <c r="H333">
        <v>190</v>
      </c>
    </row>
    <row r="334" spans="1:8">
      <c r="A334">
        <v>332</v>
      </c>
      <c r="B334" t="s">
        <v>190</v>
      </c>
      <c r="C334" t="s">
        <v>193</v>
      </c>
      <c r="D334">
        <v>0</v>
      </c>
      <c r="E334" t="s">
        <v>102</v>
      </c>
      <c r="F334" t="s">
        <v>107</v>
      </c>
      <c r="G334">
        <v>0</v>
      </c>
      <c r="H334">
        <v>190</v>
      </c>
    </row>
    <row r="335" spans="1:8">
      <c r="A335">
        <v>333</v>
      </c>
      <c r="B335" t="s">
        <v>190</v>
      </c>
      <c r="C335" t="s">
        <v>193</v>
      </c>
      <c r="D335" t="s">
        <v>266</v>
      </c>
      <c r="F335" t="s">
        <v>614</v>
      </c>
      <c r="G335">
        <v>0</v>
      </c>
      <c r="H335">
        <v>190</v>
      </c>
    </row>
    <row r="336" spans="1:8">
      <c r="A336">
        <v>334</v>
      </c>
      <c r="B336" t="s">
        <v>190</v>
      </c>
      <c r="C336" t="s">
        <v>193</v>
      </c>
      <c r="D336" t="s">
        <v>102</v>
      </c>
      <c r="F336" t="s">
        <v>615</v>
      </c>
      <c r="G336">
        <v>0</v>
      </c>
      <c r="H336">
        <v>190</v>
      </c>
    </row>
    <row r="337" spans="1:8">
      <c r="A337">
        <v>335</v>
      </c>
      <c r="B337" t="s">
        <v>190</v>
      </c>
      <c r="C337" t="s">
        <v>193</v>
      </c>
      <c r="D337" t="s">
        <v>353</v>
      </c>
      <c r="F337" t="s">
        <v>616</v>
      </c>
      <c r="G337">
        <v>0</v>
      </c>
      <c r="H337">
        <v>190</v>
      </c>
    </row>
    <row r="338" spans="1:8">
      <c r="A338">
        <v>336</v>
      </c>
      <c r="B338" t="s">
        <v>190</v>
      </c>
      <c r="C338">
        <v>43475</v>
      </c>
      <c r="D338" t="s">
        <v>383</v>
      </c>
      <c r="E338" t="s">
        <v>102</v>
      </c>
      <c r="F338" t="s">
        <v>617</v>
      </c>
      <c r="G338">
        <v>0</v>
      </c>
      <c r="H338">
        <v>190</v>
      </c>
    </row>
    <row r="339" spans="1:8">
      <c r="A339">
        <v>337</v>
      </c>
      <c r="B339" t="s">
        <v>190</v>
      </c>
      <c r="C339">
        <v>43970</v>
      </c>
      <c r="D339" t="e">
        <v>#N/A</v>
      </c>
      <c r="E339" t="e">
        <v>#N/A</v>
      </c>
      <c r="F339" t="s">
        <v>618</v>
      </c>
      <c r="G339">
        <v>0</v>
      </c>
      <c r="H339">
        <v>190</v>
      </c>
    </row>
    <row r="340" spans="1:8">
      <c r="A340">
        <v>338</v>
      </c>
      <c r="B340" t="s">
        <v>190</v>
      </c>
      <c r="C340">
        <v>44236</v>
      </c>
      <c r="D340" t="s">
        <v>367</v>
      </c>
      <c r="E340" t="s">
        <v>102</v>
      </c>
      <c r="F340" t="s">
        <v>619</v>
      </c>
      <c r="G340">
        <v>0</v>
      </c>
      <c r="H340">
        <v>190</v>
      </c>
    </row>
    <row r="341" spans="1:8">
      <c r="A341">
        <v>339</v>
      </c>
      <c r="B341" t="s">
        <v>190</v>
      </c>
      <c r="C341">
        <v>44554</v>
      </c>
      <c r="D341" t="s">
        <v>519</v>
      </c>
      <c r="E341" t="s">
        <v>102</v>
      </c>
      <c r="F341" t="s">
        <v>620</v>
      </c>
      <c r="G341">
        <v>0</v>
      </c>
      <c r="H341">
        <v>190</v>
      </c>
    </row>
    <row r="342" spans="1:8">
      <c r="A342">
        <v>340</v>
      </c>
      <c r="B342" t="s">
        <v>190</v>
      </c>
      <c r="C342">
        <v>45160</v>
      </c>
      <c r="D342" t="s">
        <v>621</v>
      </c>
      <c r="E342" t="s">
        <v>79</v>
      </c>
      <c r="F342" t="s">
        <v>622</v>
      </c>
      <c r="G342">
        <v>0</v>
      </c>
      <c r="H342">
        <v>190</v>
      </c>
    </row>
    <row r="343" spans="1:8">
      <c r="A343">
        <v>341</v>
      </c>
      <c r="B343" t="s">
        <v>190</v>
      </c>
      <c r="C343" t="s">
        <v>193</v>
      </c>
      <c r="F343" t="s">
        <v>623</v>
      </c>
      <c r="G343">
        <v>0</v>
      </c>
      <c r="H343">
        <v>190</v>
      </c>
    </row>
    <row r="344" spans="1:8">
      <c r="A344">
        <v>342</v>
      </c>
      <c r="B344" t="s">
        <v>190</v>
      </c>
      <c r="C344" t="s">
        <v>193</v>
      </c>
      <c r="F344" t="s">
        <v>624</v>
      </c>
      <c r="G344">
        <v>0</v>
      </c>
      <c r="H344">
        <v>190</v>
      </c>
    </row>
    <row r="345" spans="1:8">
      <c r="A345">
        <v>343</v>
      </c>
      <c r="B345" t="s">
        <v>190</v>
      </c>
      <c r="C345" t="s">
        <v>193</v>
      </c>
      <c r="D345" t="s">
        <v>276</v>
      </c>
      <c r="E345" t="s">
        <v>106</v>
      </c>
      <c r="F345" t="s">
        <v>625</v>
      </c>
      <c r="G345">
        <v>0</v>
      </c>
      <c r="H345">
        <v>190</v>
      </c>
    </row>
    <row r="346" spans="1:8">
      <c r="A346">
        <v>344</v>
      </c>
      <c r="B346" t="s">
        <v>190</v>
      </c>
      <c r="C346" t="s">
        <v>193</v>
      </c>
      <c r="D346" t="s">
        <v>199</v>
      </c>
      <c r="E346" t="s">
        <v>102</v>
      </c>
      <c r="F346" t="s">
        <v>626</v>
      </c>
      <c r="G346">
        <v>0</v>
      </c>
      <c r="H346">
        <v>190</v>
      </c>
    </row>
    <row r="347" spans="1:8">
      <c r="A347">
        <v>345</v>
      </c>
      <c r="B347" t="s">
        <v>190</v>
      </c>
      <c r="C347">
        <v>42171</v>
      </c>
      <c r="D347" t="s">
        <v>501</v>
      </c>
      <c r="E347" t="s">
        <v>106</v>
      </c>
      <c r="F347" t="s">
        <v>627</v>
      </c>
      <c r="G347">
        <v>0</v>
      </c>
      <c r="H347">
        <v>190</v>
      </c>
    </row>
    <row r="348" spans="1:8">
      <c r="A348">
        <v>346</v>
      </c>
      <c r="B348" t="s">
        <v>190</v>
      </c>
      <c r="C348" t="s">
        <v>556</v>
      </c>
      <c r="D348" t="s">
        <v>556</v>
      </c>
      <c r="E348" t="s">
        <v>556</v>
      </c>
      <c r="F348" t="s">
        <v>628</v>
      </c>
      <c r="G348">
        <v>0</v>
      </c>
      <c r="H348">
        <v>190</v>
      </c>
    </row>
    <row r="349" spans="1:8">
      <c r="A349">
        <v>347</v>
      </c>
      <c r="B349" t="s">
        <v>190</v>
      </c>
      <c r="C349" t="s">
        <v>193</v>
      </c>
      <c r="D349" t="s">
        <v>501</v>
      </c>
      <c r="E349" t="s">
        <v>106</v>
      </c>
      <c r="F349" t="s">
        <v>629</v>
      </c>
      <c r="G349">
        <v>0</v>
      </c>
      <c r="H349">
        <v>190</v>
      </c>
    </row>
    <row r="350" spans="1:8">
      <c r="A350">
        <v>348</v>
      </c>
      <c r="B350" t="s">
        <v>190</v>
      </c>
      <c r="C350">
        <v>44938</v>
      </c>
      <c r="D350" t="s">
        <v>519</v>
      </c>
      <c r="E350" t="s">
        <v>102</v>
      </c>
      <c r="F350" t="s">
        <v>630</v>
      </c>
      <c r="G350">
        <v>0</v>
      </c>
      <c r="H350">
        <v>190</v>
      </c>
    </row>
    <row r="351" spans="1:8">
      <c r="A351">
        <v>349</v>
      </c>
      <c r="B351" t="s">
        <v>190</v>
      </c>
      <c r="C351">
        <v>44119</v>
      </c>
      <c r="D351" t="s">
        <v>519</v>
      </c>
      <c r="E351" t="s">
        <v>102</v>
      </c>
      <c r="F351" t="s">
        <v>631</v>
      </c>
      <c r="G351">
        <v>0</v>
      </c>
      <c r="H351">
        <v>190</v>
      </c>
    </row>
    <row r="352" spans="1:8">
      <c r="A352">
        <v>350</v>
      </c>
      <c r="B352" t="s">
        <v>190</v>
      </c>
      <c r="C352">
        <v>44581</v>
      </c>
      <c r="D352" t="s">
        <v>519</v>
      </c>
      <c r="E352" t="s">
        <v>102</v>
      </c>
      <c r="F352" t="s">
        <v>632</v>
      </c>
      <c r="G352">
        <v>0</v>
      </c>
      <c r="H352">
        <v>190</v>
      </c>
    </row>
    <row r="353" spans="1:8">
      <c r="A353">
        <v>351</v>
      </c>
      <c r="B353" t="s">
        <v>190</v>
      </c>
      <c r="C353">
        <v>45093</v>
      </c>
      <c r="D353" t="s">
        <v>501</v>
      </c>
      <c r="E353" t="s">
        <v>106</v>
      </c>
      <c r="F353" t="s">
        <v>633</v>
      </c>
      <c r="G353">
        <v>0</v>
      </c>
      <c r="H353">
        <v>190</v>
      </c>
    </row>
    <row r="354" spans="1:8">
      <c r="A354">
        <v>352</v>
      </c>
      <c r="B354" t="s">
        <v>190</v>
      </c>
      <c r="C354">
        <v>45075</v>
      </c>
      <c r="D354" t="s">
        <v>519</v>
      </c>
      <c r="E354" t="s">
        <v>102</v>
      </c>
      <c r="F354" t="s">
        <v>634</v>
      </c>
      <c r="G354">
        <v>0</v>
      </c>
      <c r="H354">
        <v>190</v>
      </c>
    </row>
    <row r="355" spans="1:8">
      <c r="A355">
        <v>353</v>
      </c>
      <c r="B355" t="s">
        <v>190</v>
      </c>
      <c r="C355" t="s">
        <v>556</v>
      </c>
      <c r="D355" t="s">
        <v>556</v>
      </c>
      <c r="E355" t="s">
        <v>556</v>
      </c>
      <c r="F355" t="s">
        <v>635</v>
      </c>
      <c r="G355">
        <v>0</v>
      </c>
      <c r="H355">
        <v>190</v>
      </c>
    </row>
    <row r="356" spans="1:8">
      <c r="A356">
        <v>354</v>
      </c>
      <c r="B356" t="s">
        <v>190</v>
      </c>
      <c r="C356">
        <v>45241</v>
      </c>
      <c r="D356" t="s">
        <v>501</v>
      </c>
      <c r="E356" t="s">
        <v>106</v>
      </c>
      <c r="F356" t="s">
        <v>636</v>
      </c>
      <c r="G356">
        <v>0</v>
      </c>
      <c r="H356">
        <v>190</v>
      </c>
    </row>
    <row r="357" spans="1:8">
      <c r="A357">
        <v>355</v>
      </c>
      <c r="B357" t="s">
        <v>190</v>
      </c>
      <c r="C357" t="s">
        <v>556</v>
      </c>
      <c r="D357" t="s">
        <v>556</v>
      </c>
      <c r="E357" t="s">
        <v>556</v>
      </c>
      <c r="F357" t="s">
        <v>637</v>
      </c>
      <c r="G357">
        <v>0</v>
      </c>
      <c r="H357">
        <v>190</v>
      </c>
    </row>
    <row r="358" spans="1:8">
      <c r="A358">
        <v>356</v>
      </c>
      <c r="B358" t="s">
        <v>190</v>
      </c>
      <c r="C358" t="s">
        <v>193</v>
      </c>
      <c r="D358" t="s">
        <v>274</v>
      </c>
      <c r="E358" t="s">
        <v>102</v>
      </c>
      <c r="F358" t="s">
        <v>638</v>
      </c>
      <c r="G358">
        <v>0</v>
      </c>
      <c r="H358">
        <v>190</v>
      </c>
    </row>
    <row r="359" spans="1:8">
      <c r="A359">
        <v>357</v>
      </c>
      <c r="B359" t="s">
        <v>190</v>
      </c>
      <c r="F359" t="s">
        <v>639</v>
      </c>
      <c r="G359">
        <v>0</v>
      </c>
      <c r="H359">
        <v>190</v>
      </c>
    </row>
    <row r="360" spans="1:8">
      <c r="A360">
        <v>358</v>
      </c>
      <c r="B360" t="s">
        <v>190</v>
      </c>
      <c r="F360" t="s">
        <v>640</v>
      </c>
      <c r="G360">
        <v>0</v>
      </c>
      <c r="H360">
        <v>190</v>
      </c>
    </row>
    <row r="361" spans="1:8">
      <c r="A361">
        <v>359</v>
      </c>
      <c r="B361" t="s">
        <v>190</v>
      </c>
      <c r="F361" t="s">
        <v>641</v>
      </c>
      <c r="G361">
        <v>0</v>
      </c>
      <c r="H361">
        <v>190</v>
      </c>
    </row>
    <row r="362" spans="1:8">
      <c r="A362">
        <v>360</v>
      </c>
      <c r="B362" t="s">
        <v>190</v>
      </c>
      <c r="C362" t="e">
        <v>#N/A</v>
      </c>
      <c r="D362" t="s">
        <v>102</v>
      </c>
      <c r="E362" t="s">
        <v>102</v>
      </c>
      <c r="F362" t="s">
        <v>642</v>
      </c>
      <c r="G362">
        <v>0</v>
      </c>
      <c r="H362">
        <v>190</v>
      </c>
    </row>
    <row r="363" spans="1:8">
      <c r="A363">
        <v>361</v>
      </c>
      <c r="B363" t="s">
        <v>190</v>
      </c>
      <c r="F363" t="s">
        <v>643</v>
      </c>
      <c r="G363">
        <v>0</v>
      </c>
      <c r="H363">
        <v>190</v>
      </c>
    </row>
    <row r="364" spans="1:8">
      <c r="A364">
        <v>362</v>
      </c>
      <c r="B364" t="s">
        <v>190</v>
      </c>
      <c r="F364" t="s">
        <v>644</v>
      </c>
      <c r="G364">
        <v>0</v>
      </c>
      <c r="H364">
        <v>190</v>
      </c>
    </row>
    <row r="365" spans="1:8">
      <c r="A365">
        <v>363</v>
      </c>
      <c r="B365" t="s">
        <v>190</v>
      </c>
      <c r="F365" t="s">
        <v>645</v>
      </c>
      <c r="G365">
        <v>0</v>
      </c>
      <c r="H365">
        <v>190</v>
      </c>
    </row>
    <row r="366" spans="1:8">
      <c r="A366">
        <v>364</v>
      </c>
      <c r="B366" t="s">
        <v>190</v>
      </c>
      <c r="F366" t="s">
        <v>646</v>
      </c>
      <c r="G366">
        <v>0</v>
      </c>
      <c r="H366">
        <v>190</v>
      </c>
    </row>
    <row r="367" spans="1:8">
      <c r="A367">
        <v>365</v>
      </c>
      <c r="B367" t="s">
        <v>190</v>
      </c>
      <c r="F367" t="s">
        <v>647</v>
      </c>
      <c r="G367">
        <v>0</v>
      </c>
      <c r="H367">
        <v>190</v>
      </c>
    </row>
    <row r="368" spans="1:8">
      <c r="A368">
        <v>366</v>
      </c>
      <c r="B368" t="s">
        <v>190</v>
      </c>
      <c r="F368" t="s">
        <v>648</v>
      </c>
      <c r="G368">
        <v>0</v>
      </c>
      <c r="H368">
        <v>190</v>
      </c>
    </row>
    <row r="369" spans="1:8">
      <c r="A369">
        <v>367</v>
      </c>
      <c r="B369" t="s">
        <v>190</v>
      </c>
      <c r="F369" t="s">
        <v>649</v>
      </c>
      <c r="G369">
        <v>0</v>
      </c>
      <c r="H369">
        <v>190</v>
      </c>
    </row>
    <row r="370" spans="1:8">
      <c r="A370">
        <v>368</v>
      </c>
      <c r="B370" t="s">
        <v>190</v>
      </c>
      <c r="F370" t="s">
        <v>650</v>
      </c>
      <c r="G370">
        <v>0</v>
      </c>
      <c r="H370">
        <v>190</v>
      </c>
    </row>
    <row r="371" spans="1:8">
      <c r="A371">
        <v>369</v>
      </c>
      <c r="B371" t="s">
        <v>190</v>
      </c>
      <c r="F371" t="s">
        <v>651</v>
      </c>
      <c r="G371">
        <v>0</v>
      </c>
      <c r="H371">
        <v>190</v>
      </c>
    </row>
    <row r="372" spans="1:8">
      <c r="A372">
        <v>370</v>
      </c>
      <c r="B372" t="s">
        <v>190</v>
      </c>
      <c r="F372" t="s">
        <v>652</v>
      </c>
      <c r="G372">
        <v>0</v>
      </c>
      <c r="H372">
        <v>190</v>
      </c>
    </row>
    <row r="373" spans="1:8">
      <c r="A373">
        <v>371</v>
      </c>
      <c r="B373" t="s">
        <v>190</v>
      </c>
      <c r="F373" t="s">
        <v>653</v>
      </c>
      <c r="G373">
        <v>0</v>
      </c>
      <c r="H373">
        <v>190</v>
      </c>
    </row>
    <row r="374" spans="1:8">
      <c r="A374">
        <v>372</v>
      </c>
      <c r="B374" t="s">
        <v>190</v>
      </c>
      <c r="D374" t="s">
        <v>243</v>
      </c>
      <c r="E374" t="s">
        <v>106</v>
      </c>
      <c r="F374" t="s">
        <v>654</v>
      </c>
      <c r="G374">
        <v>0</v>
      </c>
      <c r="H374">
        <v>190</v>
      </c>
    </row>
    <row r="375" spans="1:8">
      <c r="A375">
        <v>373</v>
      </c>
      <c r="B375" t="s">
        <v>190</v>
      </c>
      <c r="C375">
        <v>44278</v>
      </c>
      <c r="D375" t="s">
        <v>386</v>
      </c>
      <c r="E375" t="s">
        <v>106</v>
      </c>
      <c r="F375" t="s">
        <v>655</v>
      </c>
      <c r="G375">
        <v>0</v>
      </c>
      <c r="H375">
        <v>190</v>
      </c>
    </row>
    <row r="376" spans="1:8">
      <c r="A376">
        <v>374</v>
      </c>
      <c r="B376" t="s">
        <v>190</v>
      </c>
      <c r="D376" t="s">
        <v>193</v>
      </c>
      <c r="E376" t="s">
        <v>193</v>
      </c>
      <c r="F376" t="s">
        <v>656</v>
      </c>
      <c r="G376">
        <v>0</v>
      </c>
      <c r="H376">
        <v>190</v>
      </c>
    </row>
    <row r="377" spans="1:8">
      <c r="A377">
        <v>375</v>
      </c>
      <c r="B377" t="s">
        <v>190</v>
      </c>
      <c r="D377" t="s">
        <v>657</v>
      </c>
      <c r="E377" t="s">
        <v>102</v>
      </c>
      <c r="F377" t="s">
        <v>658</v>
      </c>
      <c r="G377">
        <v>0</v>
      </c>
      <c r="H377">
        <v>190</v>
      </c>
    </row>
    <row r="378" spans="1:8">
      <c r="A378">
        <v>376</v>
      </c>
      <c r="B378" t="s">
        <v>190</v>
      </c>
      <c r="D378" t="s">
        <v>659</v>
      </c>
      <c r="E378" t="s">
        <v>102</v>
      </c>
      <c r="F378" t="s">
        <v>112</v>
      </c>
      <c r="G378">
        <v>0</v>
      </c>
      <c r="H378">
        <v>190</v>
      </c>
    </row>
    <row r="379" spans="1:8">
      <c r="A379">
        <v>377</v>
      </c>
      <c r="B379" t="s">
        <v>190</v>
      </c>
      <c r="E379" t="s">
        <v>102</v>
      </c>
      <c r="F379" t="s">
        <v>113</v>
      </c>
      <c r="G379">
        <v>0</v>
      </c>
      <c r="H379">
        <v>190</v>
      </c>
    </row>
    <row r="380" spans="1:8">
      <c r="A380">
        <v>378</v>
      </c>
      <c r="B380" t="s">
        <v>190</v>
      </c>
      <c r="D380" t="s">
        <v>558</v>
      </c>
      <c r="E380" t="s">
        <v>102</v>
      </c>
      <c r="F380" t="s">
        <v>660</v>
      </c>
      <c r="G380">
        <v>0</v>
      </c>
      <c r="H380">
        <v>190</v>
      </c>
    </row>
    <row r="381" spans="1:8">
      <c r="A381">
        <v>379</v>
      </c>
      <c r="B381" t="s">
        <v>190</v>
      </c>
      <c r="D381" t="s">
        <v>193</v>
      </c>
      <c r="E381" t="s">
        <v>193</v>
      </c>
      <c r="F381" t="s">
        <v>661</v>
      </c>
      <c r="G381">
        <v>0</v>
      </c>
      <c r="H381">
        <v>190</v>
      </c>
    </row>
    <row r="382" spans="1:8">
      <c r="A382">
        <v>380</v>
      </c>
      <c r="B382" t="s">
        <v>190</v>
      </c>
      <c r="D382" t="s">
        <v>193</v>
      </c>
      <c r="E382" t="s">
        <v>193</v>
      </c>
      <c r="F382" t="s">
        <v>662</v>
      </c>
      <c r="G382">
        <v>0</v>
      </c>
      <c r="H382">
        <v>190</v>
      </c>
    </row>
    <row r="383" spans="1:8">
      <c r="A383">
        <v>381</v>
      </c>
      <c r="B383" t="s">
        <v>190</v>
      </c>
      <c r="D383" t="s">
        <v>663</v>
      </c>
      <c r="E383" t="s">
        <v>102</v>
      </c>
      <c r="F383" t="s">
        <v>116</v>
      </c>
      <c r="G383">
        <v>0</v>
      </c>
      <c r="H383">
        <v>190</v>
      </c>
    </row>
    <row r="384" spans="1:8">
      <c r="A384">
        <v>382</v>
      </c>
      <c r="B384" t="s">
        <v>190</v>
      </c>
      <c r="D384" t="s">
        <v>664</v>
      </c>
      <c r="E384" t="s">
        <v>102</v>
      </c>
      <c r="F384" t="s">
        <v>665</v>
      </c>
      <c r="G384">
        <v>0</v>
      </c>
      <c r="H384">
        <v>190</v>
      </c>
    </row>
    <row r="385" spans="1:8">
      <c r="A385">
        <v>383</v>
      </c>
      <c r="B385" t="s">
        <v>190</v>
      </c>
      <c r="D385" t="s">
        <v>666</v>
      </c>
      <c r="E385" t="s">
        <v>79</v>
      </c>
      <c r="F385" t="s">
        <v>667</v>
      </c>
      <c r="G385">
        <v>0</v>
      </c>
      <c r="H385">
        <v>190</v>
      </c>
    </row>
    <row r="386" spans="1:8">
      <c r="A386">
        <v>384</v>
      </c>
      <c r="B386" t="s">
        <v>190</v>
      </c>
      <c r="D386" t="s">
        <v>79</v>
      </c>
      <c r="E386" t="s">
        <v>79</v>
      </c>
      <c r="F386" t="s">
        <v>668</v>
      </c>
      <c r="G386">
        <v>0</v>
      </c>
      <c r="H386">
        <v>190</v>
      </c>
    </row>
    <row r="387" spans="1:8">
      <c r="A387">
        <v>385</v>
      </c>
      <c r="B387" t="s">
        <v>190</v>
      </c>
      <c r="C387">
        <v>42578</v>
      </c>
      <c r="D387" t="s">
        <v>471</v>
      </c>
      <c r="E387" t="s">
        <v>102</v>
      </c>
      <c r="F387" t="s">
        <v>669</v>
      </c>
      <c r="G387">
        <v>-3.5056699999999998</v>
      </c>
      <c r="H387">
        <v>191</v>
      </c>
    </row>
    <row r="388" spans="1:8">
      <c r="A388">
        <v>386</v>
      </c>
      <c r="B388" t="s">
        <v>190</v>
      </c>
      <c r="C388">
        <v>43463</v>
      </c>
      <c r="F388" t="s">
        <v>670</v>
      </c>
      <c r="G388">
        <v>-443.53918999999996</v>
      </c>
      <c r="H388">
        <v>192</v>
      </c>
    </row>
    <row r="389" spans="1:8">
      <c r="A389">
        <v>5</v>
      </c>
      <c r="B389" t="s">
        <v>190</v>
      </c>
      <c r="C389" t="s">
        <v>193</v>
      </c>
      <c r="D389" t="s">
        <v>671</v>
      </c>
      <c r="E389" t="s">
        <v>102</v>
      </c>
      <c r="F389" t="s">
        <v>144</v>
      </c>
      <c r="G389">
        <v>-1576.297770000001</v>
      </c>
      <c r="H389">
        <v>193</v>
      </c>
    </row>
  </sheetData>
  <sortState xmlns:xlrd2="http://schemas.microsoft.com/office/spreadsheetml/2017/richdata2" ref="A2:G389">
    <sortCondition descending="1" ref="G2:G389"/>
  </sortState>
  <phoneticPr fontId="1" type="noConversion"/>
  <conditionalFormatting sqref="F1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26년 예상 매출 销售预计(法人别)</vt:lpstr>
      <vt:lpstr>26년 고객사별 예상 매출 销售预计(客户别)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权泰希 권태희 (Taehee Kwon) COSMAX GUANGZHOU</dc:creator>
  <cp:keywords/>
  <dc:description/>
  <cp:lastModifiedBy>최수정 (Sujung Choi) COSMAX</cp:lastModifiedBy>
  <cp:revision/>
  <dcterms:created xsi:type="dcterms:W3CDTF">2026-03-02T09:03:31Z</dcterms:created>
  <dcterms:modified xsi:type="dcterms:W3CDTF">2026-04-03T00:11:41Z</dcterms:modified>
  <cp:category/>
  <cp:contentStatus/>
</cp:coreProperties>
</file>